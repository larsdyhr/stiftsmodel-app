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rkenettet-my.sharepoint.com/personal/klke_km_dk/Documents/Stiftsgrænser 2026/"/>
    </mc:Choice>
  </mc:AlternateContent>
  <xr:revisionPtr revIDLastSave="0" documentId="8_{0A2E4E6F-22D6-4533-939C-F97134E1B95C}" xr6:coauthVersionLast="47" xr6:coauthVersionMax="47" xr10:uidLastSave="{00000000-0000-0000-0000-000000000000}"/>
  <bookViews>
    <workbookView xWindow="-120" yWindow="-120" windowWidth="29040" windowHeight="17520" xr2:uid="{11370B82-C49D-4953-90E4-76E56932934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1" l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J24" i="1"/>
  <c r="I24" i="1"/>
  <c r="H24" i="1"/>
  <c r="H27" i="1"/>
  <c r="I27" i="1" s="1"/>
  <c r="J27" i="1" s="1"/>
  <c r="H28" i="1"/>
  <c r="I28" i="1" s="1"/>
  <c r="J28" i="1" s="1"/>
</calcChain>
</file>

<file path=xl/sharedStrings.xml><?xml version="1.0" encoding="utf-8"?>
<sst xmlns="http://schemas.openxmlformats.org/spreadsheetml/2006/main" count="107" uniqueCount="107">
  <si>
    <t>København</t>
  </si>
  <si>
    <t>Frederiksberg</t>
  </si>
  <si>
    <t>Ballerup</t>
  </si>
  <si>
    <t>Brøndby</t>
  </si>
  <si>
    <t>Dragør</t>
  </si>
  <si>
    <t>Gentofte</t>
  </si>
  <si>
    <t>Gladsaxe</t>
  </si>
  <si>
    <t>Glostrup</t>
  </si>
  <si>
    <t>Herlev</t>
  </si>
  <si>
    <t>Albertslund</t>
  </si>
  <si>
    <t>Hvidovre</t>
  </si>
  <si>
    <t>Høje-Taastrup</t>
  </si>
  <si>
    <t>Lyngby-Taarbæk</t>
  </si>
  <si>
    <t>Rødovre</t>
  </si>
  <si>
    <t>Ishøj</t>
  </si>
  <si>
    <t>Tårnby</t>
  </si>
  <si>
    <t>Vallensbæk</t>
  </si>
  <si>
    <t>Furesø</t>
  </si>
  <si>
    <t>Allerød</t>
  </si>
  <si>
    <t>Fredensborg</t>
  </si>
  <si>
    <t>Helsingør</t>
  </si>
  <si>
    <t>Hillerød</t>
  </si>
  <si>
    <t>Hørsholm</t>
  </si>
  <si>
    <t>Rudersdal</t>
  </si>
  <si>
    <t>Egedal</t>
  </si>
  <si>
    <t>Frederikssund</t>
  </si>
  <si>
    <t>Greve</t>
  </si>
  <si>
    <t>Køge</t>
  </si>
  <si>
    <t>Halsnæs</t>
  </si>
  <si>
    <t>Roskilde</t>
  </si>
  <si>
    <t>Solrød</t>
  </si>
  <si>
    <t>Gribskov</t>
  </si>
  <si>
    <t>Odsherred</t>
  </si>
  <si>
    <t>Holbæk</t>
  </si>
  <si>
    <t>Faxe</t>
  </si>
  <si>
    <t>Kalundborg</t>
  </si>
  <si>
    <t>Ringsted</t>
  </si>
  <si>
    <t>Slagelse</t>
  </si>
  <si>
    <t>Stevns</t>
  </si>
  <si>
    <t>Sorø</t>
  </si>
  <si>
    <t>Lejre</t>
  </si>
  <si>
    <t>Lolland</t>
  </si>
  <si>
    <t>Næstved</t>
  </si>
  <si>
    <t>Guldborgsund</t>
  </si>
  <si>
    <t>Vordingborg</t>
  </si>
  <si>
    <t>Middelfart</t>
  </si>
  <si>
    <t>Assens</t>
  </si>
  <si>
    <t>Faaborg-Midtfyn</t>
  </si>
  <si>
    <t>Kerteminde</t>
  </si>
  <si>
    <t>Nyborg</t>
  </si>
  <si>
    <t>Odense</t>
  </si>
  <si>
    <t>Svendborg</t>
  </si>
  <si>
    <t>Nordfyn</t>
  </si>
  <si>
    <t>Langeland</t>
  </si>
  <si>
    <t>Ærø</t>
  </si>
  <si>
    <t>Haderslev</t>
  </si>
  <si>
    <t>Billund</t>
  </si>
  <si>
    <t>Sønderborg</t>
  </si>
  <si>
    <t>Tønder</t>
  </si>
  <si>
    <t>Esbjerg</t>
  </si>
  <si>
    <t>Fanø</t>
  </si>
  <si>
    <t>Varde</t>
  </si>
  <si>
    <t>Vejen</t>
  </si>
  <si>
    <t>Aabenraa</t>
  </si>
  <si>
    <t>Fredericia</t>
  </si>
  <si>
    <t>Horsens</t>
  </si>
  <si>
    <t>Kolding</t>
  </si>
  <si>
    <t>Vejle</t>
  </si>
  <si>
    <t>Herning</t>
  </si>
  <si>
    <t>Holstebro</t>
  </si>
  <si>
    <t>Lemvig</t>
  </si>
  <si>
    <t>Struer</t>
  </si>
  <si>
    <t>Syddjurs</t>
  </si>
  <si>
    <t>Norddjurs</t>
  </si>
  <si>
    <t>Favrskov</t>
  </si>
  <si>
    <t>Odder</t>
  </si>
  <si>
    <t>Randers</t>
  </si>
  <si>
    <t>Silkeborg</t>
  </si>
  <si>
    <t>Samsø</t>
  </si>
  <si>
    <t>Skanderborg</t>
  </si>
  <si>
    <t>Ikast-Brande</t>
  </si>
  <si>
    <t>Ringkøbing-Skjern</t>
  </si>
  <si>
    <t>Hedensted</t>
  </si>
  <si>
    <t>Morsø</t>
  </si>
  <si>
    <t>Skive</t>
  </si>
  <si>
    <t>Thisted</t>
  </si>
  <si>
    <t>Viborg</t>
  </si>
  <si>
    <t>Brønderslev</t>
  </si>
  <si>
    <t>Frederikshavn</t>
  </si>
  <si>
    <t>Vesthimmerland</t>
  </si>
  <si>
    <t>Læsø</t>
  </si>
  <si>
    <t>Rebild</t>
  </si>
  <si>
    <t>Mariagerfjord</t>
  </si>
  <si>
    <t>Jammerbugt</t>
  </si>
  <si>
    <t>Aalborg</t>
  </si>
  <si>
    <t>Hjørring</t>
  </si>
  <si>
    <t>Landskirkeskat 
2026
(kr.)</t>
  </si>
  <si>
    <t>KOM</t>
  </si>
  <si>
    <t>KOMNR</t>
  </si>
  <si>
    <t>Forskudsbeløb</t>
  </si>
  <si>
    <t>Bornholm</t>
  </si>
  <si>
    <t>Aarhus</t>
  </si>
  <si>
    <t>Statsgaranteret</t>
  </si>
  <si>
    <t>Ligning inkl. Landskirkeskat</t>
  </si>
  <si>
    <t>Ligning lokale kasser</t>
  </si>
  <si>
    <t>Kirkeskatteprocent</t>
  </si>
  <si>
    <t>Max 1 % stiftsbidrag t.kr.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</si>
</sst>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165" fontId="0" fillId="0" borderId="0" xfId="1" applyNumberFormat="1" applyFont="1"/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9124-66FB-4A1F-8CEA-15C67AB86E10}">
  <dimension ref="A1:L101"/>
  <sheetViews>
    <sheetView tabSelected="1" workbookViewId="0">
      <selection activeCell="E4" sqref="E4:E101"/>
    </sheetView>
  </sheetViews>
  <sheetFormatPr defaultRowHeight="15" x14ac:dyDescent="0.25"/>
  <cols>
    <col min="1" max="1" width="17.28515625" bestFit="1" customWidth="1"/>
    <col min="3" max="3" width="14.28515625" bestFit="1" customWidth="1"/>
    <col min="4" max="4" width="24.5703125" bestFit="1" customWidth="1"/>
    <col min="5" max="5" width="11.5703125" bestFit="1" customWidth="1"/>
    <col min="8" max="8" width="15.42578125" bestFit="1" customWidth="1"/>
    <col min="9" max="9" width="26" bestFit="1" customWidth="1"/>
    <col min="10" max="10" width="19.7109375" bestFit="1" customWidth="1"/>
    <col min="12" max="12" width="17.7109375" bestFit="1" customWidth="1"/>
  </cols>
  <sheetData>
    <row r="1" spans="1:12" x14ac:dyDescent="0.25">
      <c r="A1" s="1">
        <v>2026</v>
      </c>
      <c r="H1" t="s">
        <v>102</v>
      </c>
      <c r="I1" t="s">
        <v>103</v>
      </c>
      <c r="J1" t="s">
        <v>104</v>
      </c>
      <c r="L1" t="s">
        <v>105</v>
      </c>
    </row>
    <row r="2" spans="1:12" x14ac:dyDescent="0.25">
      <c r="A2" t="s">
        <v>97</v>
      </c>
      <c r="B2" t="s">
        <v>98</v>
      </c>
      <c r="C2" t="s">
        <v>99</v>
      </c>
      <c r="D2" t="s">
        <v>96</v>
      </c>
      <c r="E2" t="s">
        <v>106</v>
      </c>
    </row>
    <row r="3" spans="1:12" x14ac:dyDescent="0.25">
      <c r="A3" t="s">
        <v>0</v>
      </c>
      <c r="B3">
        <v>101</v>
      </c>
      <c r="C3">
        <v>723225</v>
      </c>
      <c r="D3">
        <v>131674351.7211979</v>
      </c>
      <c r="E3" s="4">
        <f>C3-(D3/1000)</f>
        <v>591550.64827880217</v>
      </c>
    </row>
    <row r="4" spans="1:12" x14ac:dyDescent="0.25">
      <c r="A4" t="s">
        <v>1</v>
      </c>
      <c r="B4">
        <v>147</v>
      </c>
      <c r="C4">
        <v>98906</v>
      </c>
      <c r="D4">
        <v>28811785.928539384</v>
      </c>
      <c r="E4" s="4">
        <f t="shared" ref="E4:E67" si="0">C4-(D4/1000)</f>
        <v>70094.214071460621</v>
      </c>
    </row>
    <row r="5" spans="1:12" x14ac:dyDescent="0.25">
      <c r="A5" t="s">
        <v>2</v>
      </c>
      <c r="B5">
        <v>151</v>
      </c>
      <c r="C5">
        <v>58188</v>
      </c>
      <c r="D5">
        <v>11300298.917708183</v>
      </c>
      <c r="E5" s="4">
        <f t="shared" si="0"/>
        <v>46887.701082291816</v>
      </c>
    </row>
    <row r="6" spans="1:12" x14ac:dyDescent="0.25">
      <c r="A6" t="s">
        <v>3</v>
      </c>
      <c r="B6">
        <v>153</v>
      </c>
      <c r="C6">
        <v>33879</v>
      </c>
      <c r="D6">
        <v>6168111.3839444183</v>
      </c>
      <c r="E6" s="4">
        <f t="shared" si="0"/>
        <v>27710.888616055581</v>
      </c>
    </row>
    <row r="7" spans="1:12" x14ac:dyDescent="0.25">
      <c r="A7" t="s">
        <v>4</v>
      </c>
      <c r="B7">
        <v>155</v>
      </c>
      <c r="C7">
        <v>19989</v>
      </c>
      <c r="D7">
        <v>4772970.7466841219</v>
      </c>
      <c r="E7" s="4">
        <f t="shared" si="0"/>
        <v>15216.029253315879</v>
      </c>
    </row>
    <row r="8" spans="1:12" x14ac:dyDescent="0.25">
      <c r="A8" t="s">
        <v>5</v>
      </c>
      <c r="B8">
        <v>157</v>
      </c>
      <c r="C8">
        <v>102017</v>
      </c>
      <c r="D8">
        <v>39102623.131395966</v>
      </c>
      <c r="E8" s="4">
        <f t="shared" si="0"/>
        <v>62914.376868604035</v>
      </c>
    </row>
    <row r="9" spans="1:12" x14ac:dyDescent="0.25">
      <c r="A9" t="s">
        <v>6</v>
      </c>
      <c r="B9">
        <v>159</v>
      </c>
      <c r="C9">
        <v>80065</v>
      </c>
      <c r="D9">
        <v>15548968.945106026</v>
      </c>
      <c r="E9" s="4">
        <f t="shared" si="0"/>
        <v>64516.031054893974</v>
      </c>
    </row>
    <row r="10" spans="1:12" x14ac:dyDescent="0.25">
      <c r="A10" t="s">
        <v>7</v>
      </c>
      <c r="B10">
        <v>161</v>
      </c>
      <c r="C10">
        <v>28640</v>
      </c>
      <c r="D10">
        <v>5214436.0102001512</v>
      </c>
      <c r="E10" s="4">
        <f t="shared" si="0"/>
        <v>23425.563989799848</v>
      </c>
    </row>
    <row r="11" spans="1:12" x14ac:dyDescent="0.25">
      <c r="A11" t="s">
        <v>8</v>
      </c>
      <c r="B11">
        <v>163</v>
      </c>
      <c r="C11">
        <v>36234</v>
      </c>
      <c r="D11">
        <v>6214861.4476639591</v>
      </c>
      <c r="E11" s="4">
        <f t="shared" si="0"/>
        <v>30019.13855233604</v>
      </c>
    </row>
    <row r="12" spans="1:12" x14ac:dyDescent="0.25">
      <c r="A12" t="s">
        <v>9</v>
      </c>
      <c r="B12">
        <v>165</v>
      </c>
      <c r="C12">
        <v>25163</v>
      </c>
      <c r="D12">
        <v>4581350.3964039497</v>
      </c>
      <c r="E12" s="4">
        <f t="shared" si="0"/>
        <v>20581.649603596052</v>
      </c>
    </row>
    <row r="13" spans="1:12" x14ac:dyDescent="0.25">
      <c r="A13" t="s">
        <v>10</v>
      </c>
      <c r="B13">
        <v>167</v>
      </c>
      <c r="C13">
        <v>56598</v>
      </c>
      <c r="D13">
        <v>11449410.603326401</v>
      </c>
      <c r="E13" s="4">
        <f t="shared" si="0"/>
        <v>45148.589396673597</v>
      </c>
    </row>
    <row r="14" spans="1:12" x14ac:dyDescent="0.25">
      <c r="A14" t="s">
        <v>11</v>
      </c>
      <c r="B14">
        <v>169</v>
      </c>
      <c r="C14">
        <v>56827</v>
      </c>
      <c r="D14">
        <v>10346221.543229062</v>
      </c>
      <c r="E14" s="4">
        <f t="shared" si="0"/>
        <v>46480.778456770939</v>
      </c>
    </row>
    <row r="15" spans="1:12" x14ac:dyDescent="0.25">
      <c r="A15" t="s">
        <v>12</v>
      </c>
      <c r="B15">
        <v>173</v>
      </c>
      <c r="C15">
        <v>83498</v>
      </c>
      <c r="D15">
        <v>20269568.900404666</v>
      </c>
      <c r="E15" s="4">
        <f t="shared" si="0"/>
        <v>63228.431099595335</v>
      </c>
    </row>
    <row r="16" spans="1:12" x14ac:dyDescent="0.25">
      <c r="A16" t="s">
        <v>13</v>
      </c>
      <c r="B16">
        <v>175</v>
      </c>
      <c r="C16">
        <v>44565</v>
      </c>
      <c r="D16">
        <v>9015339.849520456</v>
      </c>
      <c r="E16" s="4">
        <f t="shared" si="0"/>
        <v>35549.66015047954</v>
      </c>
    </row>
    <row r="17" spans="1:12" x14ac:dyDescent="0.25">
      <c r="A17" t="s">
        <v>14</v>
      </c>
      <c r="B17">
        <v>183</v>
      </c>
      <c r="C17">
        <v>20376</v>
      </c>
      <c r="D17">
        <v>3297498.4191000001</v>
      </c>
      <c r="E17" s="4">
        <f t="shared" si="0"/>
        <v>17078.5015809</v>
      </c>
    </row>
    <row r="18" spans="1:12" x14ac:dyDescent="0.25">
      <c r="A18" t="s">
        <v>15</v>
      </c>
      <c r="B18">
        <v>185</v>
      </c>
      <c r="C18">
        <v>43972</v>
      </c>
      <c r="D18">
        <v>10499418.779793888</v>
      </c>
      <c r="E18" s="4">
        <f t="shared" si="0"/>
        <v>33472.581220206113</v>
      </c>
    </row>
    <row r="19" spans="1:12" x14ac:dyDescent="0.25">
      <c r="A19" t="s">
        <v>16</v>
      </c>
      <c r="B19">
        <v>187</v>
      </c>
      <c r="C19">
        <v>19764</v>
      </c>
      <c r="D19">
        <v>3598277.9906613175</v>
      </c>
      <c r="E19" s="4">
        <f t="shared" si="0"/>
        <v>16165.722009338682</v>
      </c>
    </row>
    <row r="20" spans="1:12" x14ac:dyDescent="0.25">
      <c r="A20" t="s">
        <v>17</v>
      </c>
      <c r="B20">
        <v>190</v>
      </c>
      <c r="C20">
        <v>60679</v>
      </c>
      <c r="D20">
        <v>12625794.38417951</v>
      </c>
      <c r="E20" s="4">
        <f t="shared" si="0"/>
        <v>48053.205615820494</v>
      </c>
    </row>
    <row r="21" spans="1:12" x14ac:dyDescent="0.25">
      <c r="A21" t="s">
        <v>18</v>
      </c>
      <c r="B21">
        <v>201</v>
      </c>
      <c r="C21">
        <v>33439</v>
      </c>
      <c r="D21">
        <v>8397265.176207589</v>
      </c>
      <c r="E21" s="4">
        <f t="shared" si="0"/>
        <v>25041.734823792409</v>
      </c>
    </row>
    <row r="22" spans="1:12" x14ac:dyDescent="0.25">
      <c r="A22" t="s">
        <v>19</v>
      </c>
      <c r="B22">
        <v>210</v>
      </c>
      <c r="C22">
        <v>48328</v>
      </c>
      <c r="D22">
        <v>10998477.93119969</v>
      </c>
      <c r="E22" s="4">
        <f t="shared" si="0"/>
        <v>37329.52206880031</v>
      </c>
    </row>
    <row r="23" spans="1:12" x14ac:dyDescent="0.25">
      <c r="A23" t="s">
        <v>20</v>
      </c>
      <c r="B23">
        <v>217</v>
      </c>
      <c r="C23">
        <v>71702</v>
      </c>
      <c r="D23">
        <v>16577161.56376276</v>
      </c>
      <c r="E23" s="4">
        <f t="shared" si="0"/>
        <v>55124.838436237245</v>
      </c>
    </row>
    <row r="24" spans="1:12" x14ac:dyDescent="0.25">
      <c r="A24" s="2" t="s">
        <v>21</v>
      </c>
      <c r="B24" s="2">
        <v>219</v>
      </c>
      <c r="C24" s="2">
        <v>69617</v>
      </c>
      <c r="D24" s="2">
        <v>14695557.798122071</v>
      </c>
      <c r="E24" s="4">
        <f t="shared" si="0"/>
        <v>54921.44220187793</v>
      </c>
      <c r="H24" s="3">
        <f>10089469*1000</f>
        <v>10089469000</v>
      </c>
      <c r="I24" s="3">
        <f>H24*0.69%</f>
        <v>69617336.099999994</v>
      </c>
      <c r="J24" s="3">
        <f>I24-D24</f>
        <v>54921778.301877923</v>
      </c>
      <c r="L24">
        <v>0.69</v>
      </c>
    </row>
    <row r="25" spans="1:12" x14ac:dyDescent="0.25">
      <c r="A25" t="s">
        <v>22</v>
      </c>
      <c r="B25">
        <v>223</v>
      </c>
      <c r="C25">
        <v>41124</v>
      </c>
      <c r="D25">
        <v>9661063.7255497165</v>
      </c>
      <c r="E25" s="4">
        <f t="shared" si="0"/>
        <v>31462.936274450283</v>
      </c>
      <c r="H25" s="3"/>
      <c r="I25" s="3"/>
      <c r="J25" s="3"/>
    </row>
    <row r="26" spans="1:12" x14ac:dyDescent="0.25">
      <c r="A26" t="s">
        <v>23</v>
      </c>
      <c r="B26">
        <v>230</v>
      </c>
      <c r="C26">
        <v>89475</v>
      </c>
      <c r="D26">
        <v>22863491.750766546</v>
      </c>
      <c r="E26" s="4">
        <f t="shared" si="0"/>
        <v>66611.508249233448</v>
      </c>
      <c r="H26" s="3"/>
      <c r="I26" s="3"/>
      <c r="J26" s="3"/>
    </row>
    <row r="27" spans="1:12" x14ac:dyDescent="0.25">
      <c r="A27" s="2" t="s">
        <v>24</v>
      </c>
      <c r="B27" s="2">
        <v>240</v>
      </c>
      <c r="C27" s="2">
        <v>65137</v>
      </c>
      <c r="D27" s="2">
        <v>12483451.167455731</v>
      </c>
      <c r="E27" s="4">
        <f t="shared" si="0"/>
        <v>52653.548832544271</v>
      </c>
      <c r="H27" s="3">
        <f>8570712*1000</f>
        <v>8570712000</v>
      </c>
      <c r="I27" s="3">
        <f>H27*0.76%</f>
        <v>65137411.200000003</v>
      </c>
      <c r="J27" s="3">
        <f>I27-D27</f>
        <v>52653960.03254427</v>
      </c>
      <c r="L27">
        <v>0.76</v>
      </c>
    </row>
    <row r="28" spans="1:12" x14ac:dyDescent="0.25">
      <c r="A28" s="2" t="s">
        <v>25</v>
      </c>
      <c r="B28" s="2">
        <v>250</v>
      </c>
      <c r="C28" s="2">
        <v>81239</v>
      </c>
      <c r="D28" s="2">
        <v>12325678.987745343</v>
      </c>
      <c r="E28" s="4">
        <f t="shared" si="0"/>
        <v>68913.321012254659</v>
      </c>
      <c r="H28" s="3">
        <f>(8462391*1000)</f>
        <v>8462391000</v>
      </c>
      <c r="I28" s="3">
        <f>H28*0.96%</f>
        <v>81238953.599999994</v>
      </c>
      <c r="J28" s="3">
        <f>I28-D28</f>
        <v>68913274.612254649</v>
      </c>
      <c r="L28">
        <v>0.96</v>
      </c>
    </row>
    <row r="29" spans="1:12" x14ac:dyDescent="0.25">
      <c r="A29" t="s">
        <v>26</v>
      </c>
      <c r="B29">
        <v>253</v>
      </c>
      <c r="C29">
        <v>72907</v>
      </c>
      <c r="D29">
        <v>13109922.70394407</v>
      </c>
      <c r="E29" s="4">
        <f t="shared" si="0"/>
        <v>59797.077296055926</v>
      </c>
    </row>
    <row r="30" spans="1:12" x14ac:dyDescent="0.25">
      <c r="A30" t="s">
        <v>27</v>
      </c>
      <c r="B30">
        <v>259</v>
      </c>
      <c r="C30">
        <v>95181</v>
      </c>
      <c r="D30">
        <v>15934824.106967321</v>
      </c>
      <c r="E30" s="4">
        <f t="shared" si="0"/>
        <v>79246.175893032676</v>
      </c>
    </row>
    <row r="31" spans="1:12" x14ac:dyDescent="0.25">
      <c r="A31" t="s">
        <v>28</v>
      </c>
      <c r="B31">
        <v>260</v>
      </c>
      <c r="C31">
        <v>45161</v>
      </c>
      <c r="D31">
        <v>7738570.9503816981</v>
      </c>
      <c r="E31" s="4">
        <f t="shared" si="0"/>
        <v>37422.429049618302</v>
      </c>
    </row>
    <row r="32" spans="1:12" x14ac:dyDescent="0.25">
      <c r="A32" t="s">
        <v>29</v>
      </c>
      <c r="B32">
        <v>265</v>
      </c>
      <c r="C32">
        <v>144899</v>
      </c>
      <c r="D32">
        <v>25124811.427915603</v>
      </c>
      <c r="E32" s="4">
        <f t="shared" si="0"/>
        <v>119774.1885720844</v>
      </c>
    </row>
    <row r="33" spans="1:5" x14ac:dyDescent="0.25">
      <c r="A33" t="s">
        <v>30</v>
      </c>
      <c r="B33">
        <v>269</v>
      </c>
      <c r="C33">
        <v>40099</v>
      </c>
      <c r="D33">
        <v>6953055.6883803364</v>
      </c>
      <c r="E33" s="4">
        <f t="shared" si="0"/>
        <v>33145.944311619663</v>
      </c>
    </row>
    <row r="34" spans="1:5" x14ac:dyDescent="0.25">
      <c r="A34" t="s">
        <v>31</v>
      </c>
      <c r="B34">
        <v>270</v>
      </c>
      <c r="C34">
        <v>63761</v>
      </c>
      <c r="D34">
        <v>10925902.233314617</v>
      </c>
      <c r="E34" s="4">
        <f t="shared" si="0"/>
        <v>52835.097766685387</v>
      </c>
    </row>
    <row r="35" spans="1:5" x14ac:dyDescent="0.25">
      <c r="A35" t="s">
        <v>32</v>
      </c>
      <c r="B35">
        <v>306</v>
      </c>
      <c r="C35">
        <v>54318</v>
      </c>
      <c r="D35">
        <v>8073071.9748898577</v>
      </c>
      <c r="E35" s="4">
        <f t="shared" si="0"/>
        <v>46244.928025110145</v>
      </c>
    </row>
    <row r="36" spans="1:5" x14ac:dyDescent="0.25">
      <c r="A36" t="s">
        <v>33</v>
      </c>
      <c r="B36">
        <v>316</v>
      </c>
      <c r="C36">
        <v>123135</v>
      </c>
      <c r="D36">
        <v>18682274.824933197</v>
      </c>
      <c r="E36" s="4">
        <f t="shared" si="0"/>
        <v>104452.72517506681</v>
      </c>
    </row>
    <row r="37" spans="1:5" x14ac:dyDescent="0.25">
      <c r="A37" t="s">
        <v>34</v>
      </c>
      <c r="B37">
        <v>320</v>
      </c>
      <c r="C37">
        <v>68349</v>
      </c>
      <c r="D37">
        <v>9217785.08915364</v>
      </c>
      <c r="E37" s="4">
        <f t="shared" si="0"/>
        <v>59131.214910846364</v>
      </c>
    </row>
    <row r="38" spans="1:5" x14ac:dyDescent="0.25">
      <c r="A38" t="s">
        <v>35</v>
      </c>
      <c r="B38">
        <v>326</v>
      </c>
      <c r="C38">
        <v>87735</v>
      </c>
      <c r="D38">
        <v>12652262.345606171</v>
      </c>
      <c r="E38" s="4">
        <f t="shared" si="0"/>
        <v>75082.73765439383</v>
      </c>
    </row>
    <row r="39" spans="1:5" x14ac:dyDescent="0.25">
      <c r="A39" t="s">
        <v>36</v>
      </c>
      <c r="B39">
        <v>329</v>
      </c>
      <c r="C39">
        <v>55564</v>
      </c>
      <c r="D39">
        <v>8519053.9205753822</v>
      </c>
      <c r="E39" s="4">
        <f t="shared" si="0"/>
        <v>47044.946079424619</v>
      </c>
    </row>
    <row r="40" spans="1:5" x14ac:dyDescent="0.25">
      <c r="A40" t="s">
        <v>37</v>
      </c>
      <c r="B40">
        <v>330</v>
      </c>
      <c r="C40">
        <v>126264</v>
      </c>
      <c r="D40">
        <v>19156945.931757886</v>
      </c>
      <c r="E40" s="4">
        <f t="shared" si="0"/>
        <v>107107.05406824211</v>
      </c>
    </row>
    <row r="41" spans="1:5" x14ac:dyDescent="0.25">
      <c r="A41" t="s">
        <v>38</v>
      </c>
      <c r="B41">
        <v>336</v>
      </c>
      <c r="C41">
        <v>45602</v>
      </c>
      <c r="D41">
        <v>6038209.7986594737</v>
      </c>
      <c r="E41" s="4">
        <f t="shared" si="0"/>
        <v>39563.790201340526</v>
      </c>
    </row>
    <row r="42" spans="1:5" x14ac:dyDescent="0.25">
      <c r="A42" t="s">
        <v>39</v>
      </c>
      <c r="B42">
        <v>340</v>
      </c>
      <c r="C42">
        <v>52043</v>
      </c>
      <c r="D42">
        <v>7979113.0422642604</v>
      </c>
      <c r="E42" s="4">
        <f t="shared" si="0"/>
        <v>44063.88695773574</v>
      </c>
    </row>
    <row r="43" spans="1:5" x14ac:dyDescent="0.25">
      <c r="A43" t="s">
        <v>40</v>
      </c>
      <c r="B43">
        <v>350</v>
      </c>
      <c r="C43">
        <v>54344</v>
      </c>
      <c r="D43">
        <v>7538437.2149739219</v>
      </c>
      <c r="E43" s="4">
        <f t="shared" si="0"/>
        <v>46805.562785026079</v>
      </c>
    </row>
    <row r="44" spans="1:5" x14ac:dyDescent="0.25">
      <c r="A44" t="s">
        <v>41</v>
      </c>
      <c r="B44">
        <v>360</v>
      </c>
      <c r="C44">
        <v>78016</v>
      </c>
      <c r="D44">
        <v>9238342.4745584317</v>
      </c>
      <c r="E44" s="4">
        <f t="shared" si="0"/>
        <v>68777.657525441566</v>
      </c>
    </row>
    <row r="45" spans="1:5" x14ac:dyDescent="0.25">
      <c r="A45" t="s">
        <v>42</v>
      </c>
      <c r="B45">
        <v>370</v>
      </c>
      <c r="C45">
        <v>141923</v>
      </c>
      <c r="D45">
        <v>21093347.058437195</v>
      </c>
      <c r="E45" s="4">
        <f t="shared" si="0"/>
        <v>120829.6529415628</v>
      </c>
    </row>
    <row r="46" spans="1:5" x14ac:dyDescent="0.25">
      <c r="A46" t="s">
        <v>43</v>
      </c>
      <c r="B46">
        <v>376</v>
      </c>
      <c r="C46">
        <v>112924</v>
      </c>
      <c r="D46">
        <v>14178979.571213303</v>
      </c>
      <c r="E46" s="4">
        <f t="shared" si="0"/>
        <v>98745.020428786695</v>
      </c>
    </row>
    <row r="47" spans="1:5" x14ac:dyDescent="0.25">
      <c r="A47" t="s">
        <v>44</v>
      </c>
      <c r="B47">
        <v>390</v>
      </c>
      <c r="C47">
        <v>76269</v>
      </c>
      <c r="D47">
        <v>10890916.517187148</v>
      </c>
      <c r="E47" s="4">
        <f t="shared" si="0"/>
        <v>65378.08348281285</v>
      </c>
    </row>
    <row r="48" spans="1:5" x14ac:dyDescent="0.25">
      <c r="A48" t="s">
        <v>100</v>
      </c>
      <c r="B48">
        <v>400</v>
      </c>
      <c r="C48">
        <v>58231</v>
      </c>
      <c r="D48">
        <v>9119862.953631172</v>
      </c>
      <c r="E48" s="4">
        <f t="shared" si="0"/>
        <v>49111.137046368829</v>
      </c>
    </row>
    <row r="49" spans="1:5" x14ac:dyDescent="0.25">
      <c r="A49" t="s">
        <v>45</v>
      </c>
      <c r="B49">
        <v>410</v>
      </c>
      <c r="C49">
        <v>69385</v>
      </c>
      <c r="D49">
        <v>11228914.656783652</v>
      </c>
      <c r="E49" s="4">
        <f t="shared" si="0"/>
        <v>58156.085343216349</v>
      </c>
    </row>
    <row r="50" spans="1:5" x14ac:dyDescent="0.25">
      <c r="A50" t="s">
        <v>46</v>
      </c>
      <c r="B50">
        <v>420</v>
      </c>
      <c r="C50">
        <v>69541</v>
      </c>
      <c r="D50">
        <v>10335569.980279846</v>
      </c>
      <c r="E50" s="4">
        <f t="shared" si="0"/>
        <v>59205.430019720152</v>
      </c>
    </row>
    <row r="51" spans="1:5" x14ac:dyDescent="0.25">
      <c r="A51" t="s">
        <v>47</v>
      </c>
      <c r="B51">
        <v>430</v>
      </c>
      <c r="C51">
        <v>89216</v>
      </c>
      <c r="D51">
        <v>12375741.187954219</v>
      </c>
      <c r="E51" s="4">
        <f t="shared" si="0"/>
        <v>76840.25881204578</v>
      </c>
    </row>
    <row r="52" spans="1:5" x14ac:dyDescent="0.25">
      <c r="A52" t="s">
        <v>48</v>
      </c>
      <c r="B52">
        <v>440</v>
      </c>
      <c r="C52">
        <v>40976</v>
      </c>
      <c r="D52">
        <v>6090015.458577116</v>
      </c>
      <c r="E52" s="4">
        <f t="shared" si="0"/>
        <v>34885.984541422884</v>
      </c>
    </row>
    <row r="53" spans="1:5" x14ac:dyDescent="0.25">
      <c r="A53" t="s">
        <v>49</v>
      </c>
      <c r="B53">
        <v>450</v>
      </c>
      <c r="C53">
        <v>54267</v>
      </c>
      <c r="D53">
        <v>7904112.23125045</v>
      </c>
      <c r="E53" s="4">
        <f t="shared" si="0"/>
        <v>46362.887768749548</v>
      </c>
    </row>
    <row r="54" spans="1:5" x14ac:dyDescent="0.25">
      <c r="A54" t="s">
        <v>50</v>
      </c>
      <c r="B54">
        <v>461</v>
      </c>
      <c r="C54">
        <v>221617</v>
      </c>
      <c r="D54">
        <v>47469141.077484868</v>
      </c>
      <c r="E54" s="4">
        <f t="shared" si="0"/>
        <v>174147.85892251512</v>
      </c>
    </row>
    <row r="55" spans="1:5" x14ac:dyDescent="0.25">
      <c r="A55" t="s">
        <v>51</v>
      </c>
      <c r="B55">
        <v>479</v>
      </c>
      <c r="C55">
        <v>98126</v>
      </c>
      <c r="D55">
        <v>14011987.592040515</v>
      </c>
      <c r="E55" s="4">
        <f t="shared" si="0"/>
        <v>84114.012407959483</v>
      </c>
    </row>
    <row r="56" spans="1:5" x14ac:dyDescent="0.25">
      <c r="A56" t="s">
        <v>52</v>
      </c>
      <c r="B56">
        <v>480</v>
      </c>
      <c r="C56">
        <v>53215</v>
      </c>
      <c r="D56">
        <v>7452797.9497305099</v>
      </c>
      <c r="E56" s="4">
        <f t="shared" si="0"/>
        <v>45762.202050269494</v>
      </c>
    </row>
    <row r="57" spans="1:5" x14ac:dyDescent="0.25">
      <c r="A57" t="s">
        <v>53</v>
      </c>
      <c r="B57">
        <v>482</v>
      </c>
      <c r="C57">
        <v>23229</v>
      </c>
      <c r="D57">
        <v>2967882.5774349514</v>
      </c>
      <c r="E57" s="4">
        <f t="shared" si="0"/>
        <v>20261.117422565047</v>
      </c>
    </row>
    <row r="58" spans="1:5" x14ac:dyDescent="0.25">
      <c r="A58" t="s">
        <v>54</v>
      </c>
      <c r="B58">
        <v>492</v>
      </c>
      <c r="C58">
        <v>9934</v>
      </c>
      <c r="D58">
        <v>1352317.363327587</v>
      </c>
      <c r="E58" s="4">
        <f t="shared" si="0"/>
        <v>8581.6826366724126</v>
      </c>
    </row>
    <row r="59" spans="1:5" x14ac:dyDescent="0.25">
      <c r="A59" t="s">
        <v>55</v>
      </c>
      <c r="B59">
        <v>510</v>
      </c>
      <c r="C59">
        <v>90946</v>
      </c>
      <c r="D59">
        <v>13943759.619494345</v>
      </c>
      <c r="E59" s="4">
        <f t="shared" si="0"/>
        <v>77002.240380505653</v>
      </c>
    </row>
    <row r="60" spans="1:5" x14ac:dyDescent="0.25">
      <c r="A60" t="s">
        <v>56</v>
      </c>
      <c r="B60">
        <v>530</v>
      </c>
      <c r="C60">
        <v>42429</v>
      </c>
      <c r="D60">
        <v>6943674.2147093536</v>
      </c>
      <c r="E60" s="4">
        <f t="shared" si="0"/>
        <v>35485.325785290646</v>
      </c>
    </row>
    <row r="61" spans="1:5" x14ac:dyDescent="0.25">
      <c r="A61" t="s">
        <v>57</v>
      </c>
      <c r="B61">
        <v>540</v>
      </c>
      <c r="C61">
        <v>115332</v>
      </c>
      <c r="D61">
        <v>18459698.961544905</v>
      </c>
      <c r="E61" s="4">
        <f t="shared" si="0"/>
        <v>96872.301038455102</v>
      </c>
    </row>
    <row r="62" spans="1:5" x14ac:dyDescent="0.25">
      <c r="A62" t="s">
        <v>58</v>
      </c>
      <c r="B62">
        <v>550</v>
      </c>
      <c r="C62">
        <v>70750</v>
      </c>
      <c r="D62">
        <v>8883530.2172693592</v>
      </c>
      <c r="E62" s="4">
        <f t="shared" si="0"/>
        <v>61866.469782730637</v>
      </c>
    </row>
    <row r="63" spans="1:5" x14ac:dyDescent="0.25">
      <c r="A63" t="s">
        <v>59</v>
      </c>
      <c r="B63">
        <v>561</v>
      </c>
      <c r="C63">
        <v>169131</v>
      </c>
      <c r="D63">
        <v>30412682.485397801</v>
      </c>
      <c r="E63" s="4">
        <f t="shared" si="0"/>
        <v>138718.31751460221</v>
      </c>
    </row>
    <row r="64" spans="1:5" x14ac:dyDescent="0.25">
      <c r="A64" t="s">
        <v>60</v>
      </c>
      <c r="B64">
        <v>563</v>
      </c>
      <c r="C64">
        <v>7230</v>
      </c>
      <c r="D64">
        <v>923819.53655938664</v>
      </c>
      <c r="E64" s="4">
        <f t="shared" si="0"/>
        <v>6306.1804634406135</v>
      </c>
    </row>
    <row r="65" spans="1:5" x14ac:dyDescent="0.25">
      <c r="A65" t="s">
        <v>61</v>
      </c>
      <c r="B65">
        <v>573</v>
      </c>
      <c r="C65">
        <v>84508</v>
      </c>
      <c r="D65">
        <v>12956617.684573524</v>
      </c>
      <c r="E65" s="4">
        <f t="shared" si="0"/>
        <v>71551.382315426483</v>
      </c>
    </row>
    <row r="66" spans="1:5" x14ac:dyDescent="0.25">
      <c r="A66" t="s">
        <v>62</v>
      </c>
      <c r="B66">
        <v>575</v>
      </c>
      <c r="C66">
        <v>80104</v>
      </c>
      <c r="D66">
        <v>11006934.511875629</v>
      </c>
      <c r="E66" s="4">
        <f t="shared" si="0"/>
        <v>69097.065488124368</v>
      </c>
    </row>
    <row r="67" spans="1:5" x14ac:dyDescent="0.25">
      <c r="A67" t="s">
        <v>63</v>
      </c>
      <c r="B67">
        <v>580</v>
      </c>
      <c r="C67">
        <v>90602</v>
      </c>
      <c r="D67">
        <v>13891020.327435249</v>
      </c>
      <c r="E67" s="4">
        <f t="shared" si="0"/>
        <v>76710.979672564747</v>
      </c>
    </row>
    <row r="68" spans="1:5" x14ac:dyDescent="0.25">
      <c r="A68" t="s">
        <v>64</v>
      </c>
      <c r="B68">
        <v>607</v>
      </c>
      <c r="C68">
        <v>80786</v>
      </c>
      <c r="D68">
        <v>13371252.312086884</v>
      </c>
      <c r="E68" s="4">
        <f t="shared" ref="E68:E101" si="1">C68-(D68/1000)</f>
        <v>67414.747687913114</v>
      </c>
    </row>
    <row r="69" spans="1:5" x14ac:dyDescent="0.25">
      <c r="A69" t="s">
        <v>65</v>
      </c>
      <c r="B69">
        <v>615</v>
      </c>
      <c r="C69">
        <v>125480</v>
      </c>
      <c r="D69">
        <v>23134798.55106061</v>
      </c>
      <c r="E69" s="4">
        <f t="shared" si="1"/>
        <v>102345.20144893939</v>
      </c>
    </row>
    <row r="70" spans="1:5" x14ac:dyDescent="0.25">
      <c r="A70" t="s">
        <v>66</v>
      </c>
      <c r="B70">
        <v>621</v>
      </c>
      <c r="C70">
        <v>150904</v>
      </c>
      <c r="D70">
        <v>23890841.041794728</v>
      </c>
      <c r="E70" s="4">
        <f t="shared" si="1"/>
        <v>127013.15895820527</v>
      </c>
    </row>
    <row r="71" spans="1:5" x14ac:dyDescent="0.25">
      <c r="A71" t="s">
        <v>67</v>
      </c>
      <c r="B71">
        <v>630</v>
      </c>
      <c r="C71">
        <v>188843</v>
      </c>
      <c r="D71">
        <v>30904941.12437233</v>
      </c>
      <c r="E71" s="4">
        <f t="shared" si="1"/>
        <v>157938.05887562767</v>
      </c>
    </row>
    <row r="72" spans="1:5" x14ac:dyDescent="0.25">
      <c r="A72" t="s">
        <v>68</v>
      </c>
      <c r="B72">
        <v>657</v>
      </c>
      <c r="C72">
        <v>150969</v>
      </c>
      <c r="D72">
        <v>22211056.210294515</v>
      </c>
      <c r="E72" s="4">
        <f t="shared" si="1"/>
        <v>128757.94378970549</v>
      </c>
    </row>
    <row r="73" spans="1:5" x14ac:dyDescent="0.25">
      <c r="A73" t="s">
        <v>69</v>
      </c>
      <c r="B73">
        <v>661</v>
      </c>
      <c r="C73">
        <v>109492</v>
      </c>
      <c r="D73">
        <v>14766475.971238075</v>
      </c>
      <c r="E73" s="4">
        <f t="shared" si="1"/>
        <v>94725.524028761924</v>
      </c>
    </row>
    <row r="74" spans="1:5" x14ac:dyDescent="0.25">
      <c r="A74" t="s">
        <v>70</v>
      </c>
      <c r="B74">
        <v>665</v>
      </c>
      <c r="C74">
        <v>45356</v>
      </c>
      <c r="D74">
        <v>5201767.1609546589</v>
      </c>
      <c r="E74" s="4">
        <f t="shared" si="1"/>
        <v>40154.23283904534</v>
      </c>
    </row>
    <row r="75" spans="1:5" x14ac:dyDescent="0.25">
      <c r="A75" t="s">
        <v>71</v>
      </c>
      <c r="B75">
        <v>671</v>
      </c>
      <c r="C75">
        <v>42628</v>
      </c>
      <c r="D75">
        <v>5174033.4798229719</v>
      </c>
      <c r="E75" s="4">
        <f t="shared" si="1"/>
        <v>37453.966520177026</v>
      </c>
    </row>
    <row r="76" spans="1:5" x14ac:dyDescent="0.25">
      <c r="A76" t="s">
        <v>72</v>
      </c>
      <c r="B76">
        <v>706</v>
      </c>
      <c r="C76">
        <v>74567</v>
      </c>
      <c r="D76">
        <v>11082491.715210868</v>
      </c>
      <c r="E76" s="4">
        <f t="shared" si="1"/>
        <v>63484.508284789132</v>
      </c>
    </row>
    <row r="77" spans="1:5" x14ac:dyDescent="0.25">
      <c r="A77" t="s">
        <v>73</v>
      </c>
      <c r="B77">
        <v>707</v>
      </c>
      <c r="C77">
        <v>61840</v>
      </c>
      <c r="D77">
        <v>9007197.8781152721</v>
      </c>
      <c r="E77" s="4">
        <f t="shared" si="1"/>
        <v>52832.802121884728</v>
      </c>
    </row>
    <row r="78" spans="1:5" x14ac:dyDescent="0.25">
      <c r="A78" t="s">
        <v>74</v>
      </c>
      <c r="B78">
        <v>710</v>
      </c>
      <c r="C78">
        <v>85171</v>
      </c>
      <c r="D78">
        <v>12922303.426195212</v>
      </c>
      <c r="E78" s="4">
        <f t="shared" si="1"/>
        <v>72248.696573804787</v>
      </c>
    </row>
    <row r="79" spans="1:5" x14ac:dyDescent="0.25">
      <c r="A79" t="s">
        <v>75</v>
      </c>
      <c r="B79">
        <v>727</v>
      </c>
      <c r="C79">
        <v>39736</v>
      </c>
      <c r="D79">
        <v>6092187.1364599662</v>
      </c>
      <c r="E79" s="4">
        <f t="shared" si="1"/>
        <v>33643.812863540035</v>
      </c>
    </row>
    <row r="80" spans="1:5" x14ac:dyDescent="0.25">
      <c r="A80" t="s">
        <v>76</v>
      </c>
      <c r="B80">
        <v>730</v>
      </c>
      <c r="C80">
        <v>150119</v>
      </c>
      <c r="D80">
        <v>24567670.452945478</v>
      </c>
      <c r="E80" s="4">
        <f t="shared" si="1"/>
        <v>125551.32954705451</v>
      </c>
    </row>
    <row r="81" spans="1:5" x14ac:dyDescent="0.25">
      <c r="A81" t="s">
        <v>77</v>
      </c>
      <c r="B81">
        <v>740</v>
      </c>
      <c r="C81">
        <v>167816</v>
      </c>
      <c r="D81">
        <v>26002925.228751425</v>
      </c>
      <c r="E81" s="4">
        <f t="shared" si="1"/>
        <v>141813.07477124856</v>
      </c>
    </row>
    <row r="82" spans="1:5" x14ac:dyDescent="0.25">
      <c r="A82" t="s">
        <v>78</v>
      </c>
      <c r="B82">
        <v>741</v>
      </c>
      <c r="C82">
        <v>6900</v>
      </c>
      <c r="D82">
        <v>837539.40057925158</v>
      </c>
      <c r="E82" s="4">
        <f t="shared" si="1"/>
        <v>6062.4605994207486</v>
      </c>
    </row>
    <row r="83" spans="1:5" x14ac:dyDescent="0.25">
      <c r="A83" t="s">
        <v>79</v>
      </c>
      <c r="B83">
        <v>746</v>
      </c>
      <c r="C83">
        <v>104320</v>
      </c>
      <c r="D83">
        <v>17667901.709799256</v>
      </c>
      <c r="E83" s="4">
        <f t="shared" si="1"/>
        <v>86652.098290200753</v>
      </c>
    </row>
    <row r="84" spans="1:5" x14ac:dyDescent="0.25">
      <c r="A84" t="s">
        <v>101</v>
      </c>
      <c r="B84">
        <v>751</v>
      </c>
      <c r="C84">
        <v>441585</v>
      </c>
      <c r="D84">
        <v>85702028.336403251</v>
      </c>
      <c r="E84" s="4">
        <f t="shared" si="1"/>
        <v>355882.97166359675</v>
      </c>
    </row>
    <row r="85" spans="1:5" x14ac:dyDescent="0.25">
      <c r="A85" t="s">
        <v>80</v>
      </c>
      <c r="B85">
        <v>756</v>
      </c>
      <c r="C85">
        <v>66799</v>
      </c>
      <c r="D85">
        <v>10030318.878805483</v>
      </c>
      <c r="E85" s="4">
        <f t="shared" si="1"/>
        <v>56768.681121194517</v>
      </c>
    </row>
    <row r="86" spans="1:5" x14ac:dyDescent="0.25">
      <c r="A86" t="s">
        <v>81</v>
      </c>
      <c r="B86">
        <v>760</v>
      </c>
      <c r="C86">
        <v>104739</v>
      </c>
      <c r="D86">
        <v>14528954.710964521</v>
      </c>
      <c r="E86" s="4">
        <f t="shared" si="1"/>
        <v>90210.045289035479</v>
      </c>
    </row>
    <row r="87" spans="1:5" x14ac:dyDescent="0.25">
      <c r="A87" t="s">
        <v>82</v>
      </c>
      <c r="B87">
        <v>766</v>
      </c>
      <c r="C87">
        <v>83093</v>
      </c>
      <c r="D87">
        <v>12349752.423055701</v>
      </c>
      <c r="E87" s="4">
        <f t="shared" si="1"/>
        <v>70743.247576944297</v>
      </c>
    </row>
    <row r="88" spans="1:5" x14ac:dyDescent="0.25">
      <c r="A88" t="s">
        <v>83</v>
      </c>
      <c r="B88">
        <v>773</v>
      </c>
      <c r="C88">
        <v>39757</v>
      </c>
      <c r="D88">
        <v>4825538.1688638246</v>
      </c>
      <c r="E88" s="4">
        <f t="shared" si="1"/>
        <v>34931.461831136177</v>
      </c>
    </row>
    <row r="89" spans="1:5" x14ac:dyDescent="0.25">
      <c r="A89" t="s">
        <v>84</v>
      </c>
      <c r="B89">
        <v>779</v>
      </c>
      <c r="C89">
        <v>88790</v>
      </c>
      <c r="D89">
        <v>11864678.818954477</v>
      </c>
      <c r="E89" s="4">
        <f t="shared" si="1"/>
        <v>76925.321181045525</v>
      </c>
    </row>
    <row r="90" spans="1:5" x14ac:dyDescent="0.25">
      <c r="A90" t="s">
        <v>85</v>
      </c>
      <c r="B90">
        <v>787</v>
      </c>
      <c r="C90">
        <v>91311</v>
      </c>
      <c r="D90">
        <v>10472235.664886022</v>
      </c>
      <c r="E90" s="4">
        <f t="shared" si="1"/>
        <v>80838.764335113985</v>
      </c>
    </row>
    <row r="91" spans="1:5" x14ac:dyDescent="0.25">
      <c r="A91" t="s">
        <v>86</v>
      </c>
      <c r="B91">
        <v>791</v>
      </c>
      <c r="C91">
        <v>160086</v>
      </c>
      <c r="D91">
        <v>25072018.244453643</v>
      </c>
      <c r="E91" s="4">
        <f t="shared" si="1"/>
        <v>135013.98175554635</v>
      </c>
    </row>
    <row r="92" spans="1:5" x14ac:dyDescent="0.25">
      <c r="A92" t="s">
        <v>87</v>
      </c>
      <c r="B92">
        <v>810</v>
      </c>
      <c r="C92">
        <v>66923</v>
      </c>
      <c r="D92">
        <v>9195693.9835539199</v>
      </c>
      <c r="E92" s="4">
        <f t="shared" si="1"/>
        <v>57727.306016446077</v>
      </c>
    </row>
    <row r="93" spans="1:5" x14ac:dyDescent="0.25">
      <c r="A93" t="s">
        <v>88</v>
      </c>
      <c r="B93">
        <v>813</v>
      </c>
      <c r="C93">
        <v>104252</v>
      </c>
      <c r="D93">
        <v>14742245.231292339</v>
      </c>
      <c r="E93" s="4">
        <f t="shared" si="1"/>
        <v>89509.754768707659</v>
      </c>
    </row>
    <row r="94" spans="1:5" x14ac:dyDescent="0.25">
      <c r="A94" t="s">
        <v>89</v>
      </c>
      <c r="B94">
        <v>820</v>
      </c>
      <c r="C94">
        <v>75291</v>
      </c>
      <c r="D94">
        <v>9293450.0752946008</v>
      </c>
      <c r="E94" s="4">
        <f t="shared" si="1"/>
        <v>65997.549924705396</v>
      </c>
    </row>
    <row r="95" spans="1:5" x14ac:dyDescent="0.25">
      <c r="A95" t="s">
        <v>90</v>
      </c>
      <c r="B95">
        <v>825</v>
      </c>
      <c r="C95">
        <v>3973</v>
      </c>
      <c r="D95">
        <v>445172.11811821116</v>
      </c>
      <c r="E95" s="4">
        <f t="shared" si="1"/>
        <v>3527.8278818817889</v>
      </c>
    </row>
    <row r="96" spans="1:5" x14ac:dyDescent="0.25">
      <c r="A96" t="s">
        <v>91</v>
      </c>
      <c r="B96">
        <v>840</v>
      </c>
      <c r="C96">
        <v>68207</v>
      </c>
      <c r="D96">
        <v>8278822.0683903703</v>
      </c>
      <c r="E96" s="4">
        <f t="shared" si="1"/>
        <v>59928.177931609629</v>
      </c>
    </row>
    <row r="97" spans="1:5" x14ac:dyDescent="0.25">
      <c r="A97" t="s">
        <v>92</v>
      </c>
      <c r="B97">
        <v>846</v>
      </c>
      <c r="C97">
        <v>84308</v>
      </c>
      <c r="D97">
        <v>10677952.258325296</v>
      </c>
      <c r="E97" s="4">
        <f t="shared" si="1"/>
        <v>73630.047741674702</v>
      </c>
    </row>
    <row r="98" spans="1:5" x14ac:dyDescent="0.25">
      <c r="A98" t="s">
        <v>93</v>
      </c>
      <c r="B98">
        <v>849</v>
      </c>
      <c r="C98">
        <v>77989</v>
      </c>
      <c r="D98">
        <v>9466036.564694101</v>
      </c>
      <c r="E98" s="4">
        <f t="shared" si="1"/>
        <v>68522.963435305894</v>
      </c>
    </row>
    <row r="99" spans="1:5" x14ac:dyDescent="0.25">
      <c r="A99" t="s">
        <v>94</v>
      </c>
      <c r="B99">
        <v>851</v>
      </c>
      <c r="C99">
        <v>360038</v>
      </c>
      <c r="D99">
        <v>53510663.012633674</v>
      </c>
      <c r="E99" s="4">
        <f t="shared" si="1"/>
        <v>306527.33698736632</v>
      </c>
    </row>
    <row r="100" spans="1:5" x14ac:dyDescent="0.25">
      <c r="A100" t="s">
        <v>95</v>
      </c>
      <c r="B100">
        <v>860</v>
      </c>
      <c r="C100">
        <v>130322</v>
      </c>
      <c r="D100">
        <v>15950976.962581543</v>
      </c>
      <c r="E100" s="4">
        <f t="shared" si="1"/>
        <v>114371.02303741846</v>
      </c>
    </row>
    <row r="101" spans="1:5" x14ac:dyDescent="0.25">
      <c r="D101">
        <v>1476511264.9832892</v>
      </c>
      <c r="E101" s="4">
        <f t="shared" si="1"/>
        <v>-1476511.2649832892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Folkekirkens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Ingeborg Lindegaard Grynderup</dc:creator>
  <cp:lastModifiedBy>Klaus  Kerrn-Jespersen</cp:lastModifiedBy>
  <dcterms:created xsi:type="dcterms:W3CDTF">2026-04-20T12:55:00Z</dcterms:created>
  <dcterms:modified xsi:type="dcterms:W3CDTF">2026-04-28T12:02:28Z</dcterms:modified>
</cp:coreProperties>
</file>