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stidata" sheetId="1" state="visible" r:id="rId1"/>
    <sheet xmlns:r="http://schemas.openxmlformats.org/officeDocument/2006/relationships" name="Stiftssummer" sheetId="2" state="visible" r:id="rId2"/>
    <sheet xmlns:r="http://schemas.openxmlformats.org/officeDocument/2006/relationships" name="Datakontrol" sheetId="3" state="visible" r:id="rId3"/>
    <sheet xmlns:r="http://schemas.openxmlformats.org/officeDocument/2006/relationships" name="Afvigelser" sheetId="4" state="visible" r:id="rId4"/>
    <sheet xmlns:r="http://schemas.openxmlformats.org/officeDocument/2006/relationships" name="Kil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165" fontId="2" fillId="3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vstidataMaster" displayName="ProvstidataMaster" ref="A1:V103" headerRowCount="1">
  <autoFilter ref="A1:V103"/>
  <tableColumns count="22">
    <tableColumn id="1" name="Stift"/>
    <tableColumn id="2" name="Provsti"/>
    <tableColumn id="3" name="Indbyggertal"/>
    <tableColumn id="4" name="Folkekirkemedlemmer"/>
    <tableColumn id="5" name="Ikke-medlemmer"/>
    <tableColumn id="6" name="Medlemsprocent"/>
    <tableColumn id="7" name="Befolkning 2040"/>
    <tableColumn id="8" name="Befolkningsændring til 2040"/>
    <tableColumn id="9" name="Befolkningsændring til 2040 %"/>
    <tableColumn id="10" name="Lokal ligning t.kr."/>
    <tableColumn id="11" name="Maks. stiftsbidrag 1 % (t.kr.)"/>
    <tableColumn id="12" name="Menighedsråd"/>
    <tableColumn id="13" name="Pastorater"/>
    <tableColumn id="14" name="Sogne"/>
    <tableColumn id="15" name="Kirker"/>
    <tableColumn id="16" name="Præster inkl. LOFI"/>
    <tableColumn id="17" name="Præsteårsværk inkl. LOFI"/>
    <tableColumn id="18" name="Sognepræster"/>
    <tableColumn id="19" name="Overenskomstansatte sognepræster"/>
    <tableColumn id="20" name="Præster i alt"/>
    <tableColumn id="21" name="Datakilde primær"/>
    <tableColumn id="22" name="Datakilde suppleren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8" customWidth="1" min="4" max="4"/>
    <col width="14" customWidth="1" min="5" max="5"/>
    <col width="14" customWidth="1" min="6" max="6"/>
    <col width="15" customWidth="1" min="7" max="7"/>
    <col width="19" customWidth="1" min="8" max="8"/>
    <col width="20" customWidth="1" min="9" max="9"/>
    <col width="18" customWidth="1" min="10" max="10"/>
    <col width="22" customWidth="1" min="11" max="11"/>
    <col width="14" customWidth="1" min="12" max="12"/>
    <col width="12" customWidth="1" min="13" max="13"/>
    <col width="10" customWidth="1" min="14" max="14"/>
    <col width="10" customWidth="1" min="15" max="15"/>
    <col width="16" customWidth="1" min="16" max="16"/>
    <col width="20" customWidth="1" min="17" max="17"/>
    <col width="14" customWidth="1" min="18" max="18"/>
    <col width="26" customWidth="1" min="19" max="19"/>
    <col width="14" customWidth="1" min="20" max="20"/>
    <col width="36" customWidth="1" min="21" max="21"/>
    <col width="36" customWidth="1" min="22" max="22"/>
  </cols>
  <sheetData>
    <row r="1">
      <c r="A1" s="1" t="inlineStr">
        <is>
          <t>Stift</t>
        </is>
      </c>
      <c r="B1" s="1" t="inlineStr">
        <is>
          <t>Provsti</t>
        </is>
      </c>
      <c r="C1" s="1" t="inlineStr">
        <is>
          <t>Indbyggertal</t>
        </is>
      </c>
      <c r="D1" s="1" t="inlineStr">
        <is>
          <t>Folkekirkemedlemmer</t>
        </is>
      </c>
      <c r="E1" s="1" t="inlineStr">
        <is>
          <t>Ikke-medlemmer</t>
        </is>
      </c>
      <c r="F1" s="1" t="inlineStr">
        <is>
          <t>Medlemsprocent</t>
        </is>
      </c>
      <c r="G1" s="1" t="inlineStr">
        <is>
          <t>Befolkning 2040</t>
        </is>
      </c>
      <c r="H1" s="1" t="inlineStr">
        <is>
          <t>Befolkningsændring til 2040</t>
        </is>
      </c>
      <c r="I1" s="1" t="inlineStr">
        <is>
          <t>Befolkningsændring til 2040 %</t>
        </is>
      </c>
      <c r="J1" s="1" t="inlineStr">
        <is>
          <t>Lokal ligning t.kr.</t>
        </is>
      </c>
      <c r="K1" s="1" t="inlineStr">
        <is>
          <t>Maks. stiftsbidrag 1 % (t.kr.)</t>
        </is>
      </c>
      <c r="L1" s="1" t="inlineStr">
        <is>
          <t>Menighedsråd</t>
        </is>
      </c>
      <c r="M1" s="1" t="inlineStr">
        <is>
          <t>Pastorater</t>
        </is>
      </c>
      <c r="N1" s="1" t="inlineStr">
        <is>
          <t>Sogne</t>
        </is>
      </c>
      <c r="O1" s="1" t="inlineStr">
        <is>
          <t>Kirker</t>
        </is>
      </c>
      <c r="P1" s="1" t="inlineStr">
        <is>
          <t>Præster inkl. LOFI</t>
        </is>
      </c>
      <c r="Q1" s="1" t="inlineStr">
        <is>
          <t>Præsteårsværk inkl. LOFI</t>
        </is>
      </c>
      <c r="R1" s="1" t="inlineStr">
        <is>
          <t>Sognepræster</t>
        </is>
      </c>
      <c r="S1" s="1" t="inlineStr">
        <is>
          <t>Overenskomstansatte sognepræster</t>
        </is>
      </c>
      <c r="T1" s="1" t="inlineStr">
        <is>
          <t>Præster i alt</t>
        </is>
      </c>
      <c r="U1" s="1" t="inlineStr">
        <is>
          <t>Datakilde primær</t>
        </is>
      </c>
      <c r="V1" s="1" t="inlineStr">
        <is>
          <t>Datakilde supplerende</t>
        </is>
      </c>
    </row>
    <row r="2">
      <c r="A2" s="2" t="inlineStr">
        <is>
          <t>Fyens Stift</t>
        </is>
      </c>
      <c r="B2" s="2" t="inlineStr">
        <is>
          <t>Assens Provsti</t>
        </is>
      </c>
      <c r="C2" s="3" t="n">
        <v>40053</v>
      </c>
      <c r="D2" s="3" t="n">
        <v>32527</v>
      </c>
      <c r="E2" s="3" t="n">
        <v>7526</v>
      </c>
      <c r="F2" s="4" t="n">
        <v>0.8120989688662522</v>
      </c>
      <c r="G2" s="3" t="n">
        <v>38708</v>
      </c>
      <c r="H2" s="3" t="n">
        <v>-1345</v>
      </c>
      <c r="I2" s="4" t="n"/>
      <c r="J2" s="5" t="n">
        <v>59205.43001972015</v>
      </c>
      <c r="K2" s="5" t="n">
        <v>592.0543001972015</v>
      </c>
      <c r="L2" s="3" t="n">
        <v>22</v>
      </c>
      <c r="M2" s="3" t="n">
        <v>16</v>
      </c>
      <c r="N2" s="3" t="n">
        <v>29</v>
      </c>
      <c r="O2" s="3" t="n">
        <v>31</v>
      </c>
      <c r="P2" s="3" t="n">
        <v>18</v>
      </c>
      <c r="Q2" s="3" t="n">
        <v>18</v>
      </c>
      <c r="R2" s="3" t="n">
        <v>20</v>
      </c>
      <c r="S2" s="3" t="n">
        <v>0</v>
      </c>
      <c r="T2" s="3" t="n">
        <v>20</v>
      </c>
      <c r="U2" s="2" t="inlineStr">
        <is>
          <t>Tabel vedr. stifter og provstier slut torsdag</t>
        </is>
      </c>
      <c r="V2" s="2" t="inlineStr">
        <is>
          <t>provsti.dk-data fra tidligere app-datasæt</t>
        </is>
      </c>
    </row>
    <row r="3">
      <c r="A3" s="2" t="inlineStr">
        <is>
          <t>Fyens Stift</t>
        </is>
      </c>
      <c r="B3" s="2" t="inlineStr">
        <is>
          <t>Bogense Provsti</t>
        </is>
      </c>
      <c r="C3" s="3" t="n">
        <v>29392</v>
      </c>
      <c r="D3" s="3" t="n">
        <v>24016</v>
      </c>
      <c r="E3" s="3" t="n">
        <v>5376</v>
      </c>
      <c r="F3" s="4" t="n">
        <v>0.8170930865541643</v>
      </c>
      <c r="G3" s="3" t="n">
        <v>28490</v>
      </c>
      <c r="H3" s="3" t="n">
        <v>-902</v>
      </c>
      <c r="I3" s="4" t="n"/>
      <c r="J3" s="5" t="n">
        <v>45762.20205026949</v>
      </c>
      <c r="K3" s="5" t="n">
        <v>457.622020502695</v>
      </c>
      <c r="L3" s="3" t="n">
        <v>18</v>
      </c>
      <c r="M3" s="3" t="n">
        <v>11</v>
      </c>
      <c r="N3" s="3" t="n">
        <v>27</v>
      </c>
      <c r="O3" s="3" t="n">
        <v>30</v>
      </c>
      <c r="P3" s="3" t="n">
        <v>14</v>
      </c>
      <c r="Q3" s="3" t="n">
        <v>14</v>
      </c>
      <c r="R3" s="3" t="n">
        <v>15</v>
      </c>
      <c r="S3" s="3" t="n">
        <v>4</v>
      </c>
      <c r="T3" s="3" t="n">
        <v>19</v>
      </c>
      <c r="U3" s="2" t="inlineStr">
        <is>
          <t>Tabel vedr. stifter og provstier slut torsdag</t>
        </is>
      </c>
      <c r="V3" s="2" t="inlineStr">
        <is>
          <t>provsti.dk-data fra tidligere app-datasæt</t>
        </is>
      </c>
    </row>
    <row r="4">
      <c r="A4" s="2" t="inlineStr">
        <is>
          <t>Fyens Stift</t>
        </is>
      </c>
      <c r="B4" s="2" t="inlineStr">
        <is>
          <t>Fåborg Provsti</t>
        </is>
      </c>
      <c r="C4" s="3" t="n">
        <v>21957</v>
      </c>
      <c r="D4" s="3" t="n">
        <v>17515</v>
      </c>
      <c r="E4" s="3" t="n">
        <v>4442</v>
      </c>
      <c r="F4" s="4" t="n">
        <v>0.7976954957416769</v>
      </c>
      <c r="G4" s="3" t="n">
        <v>22412</v>
      </c>
      <c r="H4" s="3" t="n">
        <v>455</v>
      </c>
      <c r="I4" s="4" t="n"/>
      <c r="J4" s="5" t="n">
        <v>76840.25881204578</v>
      </c>
      <c r="K4" s="5" t="n">
        <v>768.4025881204578</v>
      </c>
      <c r="L4" s="3" t="n">
        <v>14</v>
      </c>
      <c r="M4" s="3" t="n">
        <v>9</v>
      </c>
      <c r="N4" s="3" t="n">
        <v>18</v>
      </c>
      <c r="O4" s="3" t="n">
        <v>20</v>
      </c>
      <c r="P4" s="3" t="n">
        <v>10</v>
      </c>
      <c r="Q4" s="3" t="n">
        <v>10</v>
      </c>
      <c r="R4" s="3" t="n">
        <v>16</v>
      </c>
      <c r="S4" s="3" t="n">
        <v>0</v>
      </c>
      <c r="T4" s="3" t="n">
        <v>16</v>
      </c>
      <c r="U4" s="2" t="inlineStr">
        <is>
          <t>Tabel vedr. stifter og provstier slut torsdag</t>
        </is>
      </c>
      <c r="V4" s="2" t="inlineStr">
        <is>
          <t>provsti.dk-data fra tidligere app-datasæt</t>
        </is>
      </c>
    </row>
    <row r="5">
      <c r="A5" s="2" t="inlineStr">
        <is>
          <t>Fyens Stift</t>
        </is>
      </c>
      <c r="B5" s="2" t="inlineStr">
        <is>
          <t>Hjallese Provsti</t>
        </is>
      </c>
      <c r="C5" s="3" t="n">
        <v>104714</v>
      </c>
      <c r="D5" s="3" t="n">
        <v>79163</v>
      </c>
      <c r="E5" s="3" t="n">
        <v>25551</v>
      </c>
      <c r="F5" s="4" t="n">
        <v>0.755992512940008</v>
      </c>
      <c r="G5" s="3" t="n"/>
      <c r="H5" s="3" t="n"/>
      <c r="I5" s="4" t="n"/>
      <c r="J5" s="5" t="n"/>
      <c r="K5" s="5" t="n">
        <v>0</v>
      </c>
      <c r="L5" s="3" t="n">
        <v>20</v>
      </c>
      <c r="M5" s="3" t="n">
        <v>17</v>
      </c>
      <c r="N5" s="3" t="n">
        <v>25</v>
      </c>
      <c r="O5" s="3" t="n">
        <v>27</v>
      </c>
      <c r="P5" s="3" t="n">
        <v>36</v>
      </c>
      <c r="Q5" s="3" t="n">
        <v>36</v>
      </c>
      <c r="R5" s="3" t="n">
        <v>32</v>
      </c>
      <c r="S5" s="3" t="n">
        <v>12</v>
      </c>
      <c r="T5" s="3" t="n">
        <v>44</v>
      </c>
      <c r="U5" s="2" t="inlineStr">
        <is>
          <t>Tabel vedr. stifter og provstier slut torsdag</t>
        </is>
      </c>
      <c r="V5" s="2" t="inlineStr">
        <is>
          <t>provsti.dk-data fra tidligere app-datasæt</t>
        </is>
      </c>
    </row>
    <row r="6">
      <c r="A6" s="2" t="inlineStr">
        <is>
          <t>Fyens Stift</t>
        </is>
      </c>
      <c r="B6" s="2" t="inlineStr">
        <is>
          <t>Kerteminde-Nyborg Provsti</t>
        </is>
      </c>
      <c r="C6" s="3" t="n">
        <v>56771</v>
      </c>
      <c r="D6" s="3" t="n">
        <v>44413</v>
      </c>
      <c r="E6" s="3" t="n">
        <v>12358</v>
      </c>
      <c r="F6" s="4" t="n">
        <v>0.7823184372302761</v>
      </c>
      <c r="G6" s="3" t="n">
        <v>56514</v>
      </c>
      <c r="H6" s="3" t="n">
        <v>-257</v>
      </c>
      <c r="I6" s="4" t="n"/>
      <c r="J6" s="5" t="n">
        <v>81248.87231017243</v>
      </c>
      <c r="K6" s="5" t="n">
        <v>812.4887231017244</v>
      </c>
      <c r="L6" s="3" t="n">
        <v>18</v>
      </c>
      <c r="M6" s="3" t="n">
        <v>18</v>
      </c>
      <c r="N6" s="3" t="n">
        <v>30</v>
      </c>
      <c r="O6" s="3" t="n">
        <v>39</v>
      </c>
      <c r="P6" s="3" t="n">
        <v>21</v>
      </c>
      <c r="Q6" s="3" t="n">
        <v>21</v>
      </c>
      <c r="R6" s="3" t="n">
        <v>24</v>
      </c>
      <c r="S6" s="3" t="n">
        <v>3</v>
      </c>
      <c r="T6" s="3" t="n">
        <v>27</v>
      </c>
      <c r="U6" s="2" t="inlineStr">
        <is>
          <t>Tabel vedr. stifter og provstier slut torsdag</t>
        </is>
      </c>
      <c r="V6" s="2" t="inlineStr">
        <is>
          <t>provsti.dk-data fra tidligere app-datasæt</t>
        </is>
      </c>
    </row>
    <row r="7">
      <c r="A7" s="2" t="inlineStr">
        <is>
          <t>Fyens Stift</t>
        </is>
      </c>
      <c r="B7" s="2" t="inlineStr">
        <is>
          <t>Langeland-Ærø Provsti</t>
        </is>
      </c>
      <c r="C7" s="3" t="n">
        <v>17556</v>
      </c>
      <c r="D7" s="3" t="n">
        <v>13767</v>
      </c>
      <c r="E7" s="3" t="n">
        <v>3789</v>
      </c>
      <c r="F7" s="4" t="n">
        <v>0.7841763499658236</v>
      </c>
      <c r="G7" s="3" t="n">
        <v>16302</v>
      </c>
      <c r="H7" s="3" t="n">
        <v>-1254</v>
      </c>
      <c r="I7" s="4" t="n"/>
      <c r="J7" s="5" t="n">
        <v>28842.80005923747</v>
      </c>
      <c r="K7" s="5" t="n">
        <v>288.4280005923746</v>
      </c>
      <c r="L7" s="3" t="n">
        <v>9</v>
      </c>
      <c r="M7" s="3" t="n">
        <v>7</v>
      </c>
      <c r="N7" s="3" t="n">
        <v>24</v>
      </c>
      <c r="O7" s="3" t="n">
        <v>30</v>
      </c>
      <c r="P7" s="3" t="n">
        <v>11</v>
      </c>
      <c r="Q7" s="3" t="n">
        <v>11</v>
      </c>
      <c r="R7" s="3" t="n">
        <v>12</v>
      </c>
      <c r="S7" s="3" t="n">
        <v>0</v>
      </c>
      <c r="T7" s="3" t="n">
        <v>12</v>
      </c>
      <c r="U7" s="2" t="inlineStr">
        <is>
          <t>Tabel vedr. stifter og provstier slut torsdag</t>
        </is>
      </c>
      <c r="V7" s="2" t="inlineStr">
        <is>
          <t>provsti.dk-data fra tidligere app-datasæt</t>
        </is>
      </c>
    </row>
    <row r="8">
      <c r="A8" s="2" t="inlineStr">
        <is>
          <t>Fyens Stift</t>
        </is>
      </c>
      <c r="B8" s="2" t="inlineStr">
        <is>
          <t>Middelfart Provsti</t>
        </is>
      </c>
      <c r="C8" s="3" t="n">
        <v>40606</v>
      </c>
      <c r="D8" s="3" t="n">
        <v>33146</v>
      </c>
      <c r="E8" s="3" t="n">
        <v>7460</v>
      </c>
      <c r="F8" s="4" t="n">
        <v>0.8162833078855342</v>
      </c>
      <c r="G8" s="3" t="n">
        <v>42741</v>
      </c>
      <c r="H8" s="3" t="n">
        <v>2135</v>
      </c>
      <c r="I8" s="4" t="n"/>
      <c r="J8" s="5" t="n">
        <v>58156.08534321634</v>
      </c>
      <c r="K8" s="5" t="n">
        <v>581.5608534321635</v>
      </c>
      <c r="L8" s="3" t="n">
        <v>13</v>
      </c>
      <c r="M8" s="3" t="n">
        <v>10</v>
      </c>
      <c r="N8" s="3" t="n">
        <v>21</v>
      </c>
      <c r="O8" s="3" t="n">
        <v>24</v>
      </c>
      <c r="P8" s="3" t="n">
        <v>13</v>
      </c>
      <c r="Q8" s="3" t="n">
        <v>13</v>
      </c>
      <c r="R8" s="3" t="n">
        <v>14</v>
      </c>
      <c r="S8" s="3" t="n">
        <v>2</v>
      </c>
      <c r="T8" s="3" t="n">
        <v>16</v>
      </c>
      <c r="U8" s="2" t="inlineStr">
        <is>
          <t>Tabel vedr. stifter og provstier slut torsdag</t>
        </is>
      </c>
      <c r="V8" s="2" t="inlineStr">
        <is>
          <t>provsti.dk-data fra tidligere app-datasæt</t>
        </is>
      </c>
    </row>
    <row r="9">
      <c r="A9" s="2" t="inlineStr">
        <is>
          <t>Fyens Stift</t>
        </is>
      </c>
      <c r="B9" s="2" t="inlineStr">
        <is>
          <t>Midtfyn Provsti</t>
        </is>
      </c>
      <c r="C9" s="3" t="n">
        <v>30316</v>
      </c>
      <c r="D9" s="3" t="n">
        <v>24467</v>
      </c>
      <c r="E9" s="3" t="n">
        <v>5849</v>
      </c>
      <c r="F9" s="4" t="n">
        <v>0.8070655759335005</v>
      </c>
      <c r="G9" s="3" t="n"/>
      <c r="H9" s="3" t="n"/>
      <c r="I9" s="4" t="n"/>
      <c r="J9" s="5" t="n"/>
      <c r="K9" s="5" t="n">
        <v>0</v>
      </c>
      <c r="L9" s="3" t="n">
        <v>13</v>
      </c>
      <c r="M9" s="3" t="n">
        <v>11</v>
      </c>
      <c r="N9" s="3" t="n">
        <v>18</v>
      </c>
      <c r="O9" s="3" t="n">
        <v>23</v>
      </c>
      <c r="P9" s="3" t="n">
        <v>8</v>
      </c>
      <c r="Q9" s="3" t="n">
        <v>8</v>
      </c>
      <c r="R9" s="3" t="n">
        <v>18</v>
      </c>
      <c r="S9" s="3" t="n">
        <v>0</v>
      </c>
      <c r="T9" s="3" t="n">
        <v>18</v>
      </c>
      <c r="U9" s="2" t="inlineStr">
        <is>
          <t>Tabel vedr. stifter og provstier slut torsdag</t>
        </is>
      </c>
      <c r="V9" s="2" t="inlineStr">
        <is>
          <t>provsti.dk-data fra tidligere app-datasæt</t>
        </is>
      </c>
    </row>
    <row r="10">
      <c r="A10" s="2" t="inlineStr">
        <is>
          <t>Fyens Stift</t>
        </is>
      </c>
      <c r="B10" s="2" t="inlineStr">
        <is>
          <t>Odense Sankt Knuds Provsti</t>
        </is>
      </c>
      <c r="C10" s="3" t="n">
        <v>108717</v>
      </c>
      <c r="D10" s="3" t="n">
        <v>70051</v>
      </c>
      <c r="E10" s="3" t="n">
        <v>38666</v>
      </c>
      <c r="F10" s="4" t="n">
        <v>0.6443426511033233</v>
      </c>
      <c r="G10" s="3" t="n">
        <v>117149</v>
      </c>
      <c r="H10" s="3" t="n">
        <v>8432</v>
      </c>
      <c r="I10" s="4" t="n"/>
      <c r="J10" s="5" t="n">
        <v>174147.8589225151</v>
      </c>
      <c r="K10" s="5" t="n">
        <v>1741.478589225151</v>
      </c>
      <c r="L10" s="3" t="n">
        <v>11</v>
      </c>
      <c r="M10" s="3" t="n">
        <v>11</v>
      </c>
      <c r="N10" s="3" t="n">
        <v>11</v>
      </c>
      <c r="O10" s="3" t="n">
        <v>17</v>
      </c>
      <c r="P10" s="3" t="n">
        <v>26</v>
      </c>
      <c r="Q10" s="3" t="n">
        <v>26</v>
      </c>
      <c r="R10" s="3" t="n">
        <v>22</v>
      </c>
      <c r="S10" s="3" t="n">
        <v>8</v>
      </c>
      <c r="T10" s="3" t="n">
        <v>30</v>
      </c>
      <c r="U10" s="2" t="inlineStr">
        <is>
          <t>Tabel vedr. stifter og provstier slut torsdag</t>
        </is>
      </c>
      <c r="V10" s="2" t="inlineStr">
        <is>
          <t>provsti.dk-data fra tidligere app-datasæt</t>
        </is>
      </c>
    </row>
    <row r="11">
      <c r="A11" s="2" t="inlineStr">
        <is>
          <t>Fyens Stift</t>
        </is>
      </c>
      <c r="B11" s="2" t="inlineStr">
        <is>
          <t>Svendborg Provsti</t>
        </is>
      </c>
      <c r="C11" s="3" t="n">
        <v>60064</v>
      </c>
      <c r="D11" s="3" t="n">
        <v>45484</v>
      </c>
      <c r="E11" s="3" t="n">
        <v>14580</v>
      </c>
      <c r="F11" s="4" t="n">
        <v>0.7572589238145978</v>
      </c>
      <c r="G11" s="3" t="n">
        <v>62791</v>
      </c>
      <c r="H11" s="3" t="n">
        <v>2727</v>
      </c>
      <c r="I11" s="4" t="n"/>
      <c r="J11" s="5" t="n">
        <v>84114.0124079595</v>
      </c>
      <c r="K11" s="5" t="n">
        <v>841.140124079595</v>
      </c>
      <c r="L11" s="3" t="n">
        <v>19</v>
      </c>
      <c r="M11" s="3" t="n">
        <v>18</v>
      </c>
      <c r="N11" s="3" t="n">
        <v>28</v>
      </c>
      <c r="O11" s="3" t="n">
        <v>34</v>
      </c>
      <c r="P11" s="3" t="n">
        <v>20</v>
      </c>
      <c r="Q11" s="3" t="n">
        <v>20</v>
      </c>
      <c r="R11" s="3" t="n">
        <v>32</v>
      </c>
      <c r="S11" s="3" t="n">
        <v>2</v>
      </c>
      <c r="T11" s="3" t="n">
        <v>34</v>
      </c>
      <c r="U11" s="2" t="inlineStr">
        <is>
          <t>Tabel vedr. stifter og provstier slut torsdag</t>
        </is>
      </c>
      <c r="V11" s="2" t="inlineStr">
        <is>
          <t>provsti.dk-data fra tidligere app-datasæt</t>
        </is>
      </c>
    </row>
    <row r="12">
      <c r="A12" s="2" t="inlineStr">
        <is>
          <t>Haderslev Stift</t>
        </is>
      </c>
      <c r="B12" s="2" t="inlineStr">
        <is>
          <t>Fredericia Provsti</t>
        </is>
      </c>
      <c r="C12" s="3" t="n">
        <v>52920</v>
      </c>
      <c r="D12" s="3" t="n">
        <v>39397</v>
      </c>
      <c r="E12" s="3" t="n">
        <v>13523</v>
      </c>
      <c r="F12" s="4" t="n">
        <v>0.7444633408919124</v>
      </c>
      <c r="G12" s="3" t="n">
        <v>54541</v>
      </c>
      <c r="H12" s="3" t="n">
        <v>1621</v>
      </c>
      <c r="I12" s="4" t="n"/>
      <c r="J12" s="5" t="n">
        <v>67414.74768791311</v>
      </c>
      <c r="K12" s="5" t="n">
        <v>674.1474768791312</v>
      </c>
      <c r="L12" s="3" t="n">
        <v>10</v>
      </c>
      <c r="M12" s="3" t="n">
        <v>10</v>
      </c>
      <c r="N12" s="3" t="n">
        <v>11</v>
      </c>
      <c r="O12" s="3" t="n">
        <v>14</v>
      </c>
      <c r="P12" s="3" t="n">
        <v>20</v>
      </c>
      <c r="Q12" s="3" t="n">
        <v>20</v>
      </c>
      <c r="R12" s="3" t="n">
        <v>15</v>
      </c>
      <c r="S12" s="3" t="n">
        <v>6</v>
      </c>
      <c r="T12" s="3" t="n">
        <v>21</v>
      </c>
      <c r="U12" s="2" t="inlineStr">
        <is>
          <t>Tabel vedr. stifter og provstier slut torsdag</t>
        </is>
      </c>
      <c r="V12" s="2" t="inlineStr">
        <is>
          <t>provsti.dk-data fra tidligere app-datasæt</t>
        </is>
      </c>
    </row>
    <row r="13">
      <c r="A13" s="2" t="inlineStr">
        <is>
          <t>Haderslev Stift</t>
        </is>
      </c>
      <c r="B13" s="2" t="inlineStr">
        <is>
          <t>Haderslev Domprovsti</t>
        </is>
      </c>
      <c r="C13" s="3" t="n">
        <v>55128</v>
      </c>
      <c r="D13" s="3" t="n">
        <v>42941</v>
      </c>
      <c r="E13" s="3" t="n">
        <v>12187</v>
      </c>
      <c r="F13" s="4" t="n">
        <v>0.7789326657959658</v>
      </c>
      <c r="G13" s="3" t="n">
        <v>52775</v>
      </c>
      <c r="H13" s="3" t="n">
        <v>-2353</v>
      </c>
      <c r="I13" s="4" t="n"/>
      <c r="J13" s="5" t="n">
        <v>77002.24038050565</v>
      </c>
      <c r="K13" s="5" t="n">
        <v>770.0224038050565</v>
      </c>
      <c r="L13" s="3" t="n">
        <v>25</v>
      </c>
      <c r="M13" s="3" t="n">
        <v>18</v>
      </c>
      <c r="N13" s="3" t="n">
        <v>27</v>
      </c>
      <c r="O13" s="3" t="n">
        <v>32</v>
      </c>
      <c r="P13" s="3" t="n">
        <v>27</v>
      </c>
      <c r="Q13" s="3" t="n">
        <v>27</v>
      </c>
      <c r="R13" s="3" t="n">
        <v>28</v>
      </c>
      <c r="S13" s="3" t="n">
        <v>4</v>
      </c>
      <c r="T13" s="3" t="n">
        <v>32</v>
      </c>
      <c r="U13" s="2" t="inlineStr">
        <is>
          <t>Tabel vedr. stifter og provstier slut torsdag</t>
        </is>
      </c>
      <c r="V13" s="2" t="inlineStr">
        <is>
          <t>provsti.dk-data fra tidligere app-datasæt</t>
        </is>
      </c>
    </row>
    <row r="14">
      <c r="A14" s="2" t="inlineStr">
        <is>
          <t>Haderslev Stift</t>
        </is>
      </c>
      <c r="B14" s="2" t="inlineStr">
        <is>
          <t>Hedensted Provsti</t>
        </is>
      </c>
      <c r="C14" s="3" t="n">
        <v>48584</v>
      </c>
      <c r="D14" s="3" t="n">
        <v>38907</v>
      </c>
      <c r="E14" s="3" t="n">
        <v>9677</v>
      </c>
      <c r="F14" s="4" t="n">
        <v>0.8008191997365388</v>
      </c>
      <c r="G14" s="3" t="n">
        <v>52440</v>
      </c>
      <c r="H14" s="3" t="n">
        <v>3856</v>
      </c>
      <c r="I14" s="4" t="n"/>
      <c r="J14" s="5" t="n">
        <v>70743.2475769443</v>
      </c>
      <c r="K14" s="5" t="n">
        <v>707.4324757694429</v>
      </c>
      <c r="L14" s="3" t="n">
        <v>20</v>
      </c>
      <c r="M14" s="3" t="n">
        <v>16</v>
      </c>
      <c r="N14" s="3" t="n">
        <v>33</v>
      </c>
      <c r="O14" s="3" t="n">
        <v>37</v>
      </c>
      <c r="P14" s="3" t="n">
        <v>22</v>
      </c>
      <c r="Q14" s="3" t="n">
        <v>22</v>
      </c>
      <c r="R14" s="3" t="n">
        <v>18</v>
      </c>
      <c r="S14" s="3" t="n">
        <v>4</v>
      </c>
      <c r="T14" s="3" t="n">
        <v>22</v>
      </c>
      <c r="U14" s="2" t="inlineStr">
        <is>
          <t>Tabel vedr. stifter og provstier slut torsdag</t>
        </is>
      </c>
      <c r="V14" s="2" t="inlineStr">
        <is>
          <t>provsti.dk-data fra tidligere app-datasæt</t>
        </is>
      </c>
    </row>
    <row r="15">
      <c r="A15" s="2" t="inlineStr">
        <is>
          <t>Haderslev Stift</t>
        </is>
      </c>
      <c r="B15" s="2" t="inlineStr">
        <is>
          <t>Kolding Provsti</t>
        </is>
      </c>
      <c r="C15" s="3" t="n">
        <v>96295</v>
      </c>
      <c r="D15" s="3" t="n">
        <v>71735</v>
      </c>
      <c r="E15" s="3" t="n">
        <v>24560</v>
      </c>
      <c r="F15" s="4" t="n">
        <v>0.7449504127940184</v>
      </c>
      <c r="G15" s="3" t="n">
        <v>99337</v>
      </c>
      <c r="H15" s="3" t="n">
        <v>3042</v>
      </c>
      <c r="I15" s="4" t="n"/>
      <c r="J15" s="5" t="n">
        <v>127013.1589582053</v>
      </c>
      <c r="K15" s="5" t="n">
        <v>1270.131589582053</v>
      </c>
      <c r="L15" s="3" t="n">
        <v>24</v>
      </c>
      <c r="M15" s="3" t="n">
        <v>22</v>
      </c>
      <c r="N15" s="3" t="n">
        <v>30</v>
      </c>
      <c r="O15" s="3" t="n">
        <v>39</v>
      </c>
      <c r="P15" s="3" t="n">
        <v>34</v>
      </c>
      <c r="Q15" s="3" t="n">
        <v>34</v>
      </c>
      <c r="R15" s="3" t="n">
        <v>32</v>
      </c>
      <c r="S15" s="3" t="n">
        <v>12</v>
      </c>
      <c r="T15" s="3" t="n">
        <v>44</v>
      </c>
      <c r="U15" s="2" t="inlineStr">
        <is>
          <t>Tabel vedr. stifter og provstier slut torsdag</t>
        </is>
      </c>
      <c r="V15" s="2" t="inlineStr">
        <is>
          <t>provsti.dk-data fra tidligere app-datasæt</t>
        </is>
      </c>
    </row>
    <row r="16">
      <c r="A16" s="2" t="inlineStr">
        <is>
          <t>Haderslev Stift</t>
        </is>
      </c>
      <c r="B16" s="2" t="inlineStr">
        <is>
          <t>Sønderborg Provsti</t>
        </is>
      </c>
      <c r="C16" s="3" t="n">
        <v>74007</v>
      </c>
      <c r="D16" s="3" t="n">
        <v>54438</v>
      </c>
      <c r="E16" s="3" t="n">
        <v>19569</v>
      </c>
      <c r="F16" s="4" t="n">
        <v>0.7355790668450282</v>
      </c>
      <c r="G16" s="3" t="n">
        <v>70785</v>
      </c>
      <c r="H16" s="3" t="n">
        <v>-3222</v>
      </c>
      <c r="I16" s="4" t="n"/>
      <c r="J16" s="5" t="n">
        <v>96872.3010384551</v>
      </c>
      <c r="K16" s="5" t="n">
        <v>968.723010384551</v>
      </c>
      <c r="L16" s="3" t="n">
        <v>23</v>
      </c>
      <c r="M16" s="3" t="n">
        <v>20</v>
      </c>
      <c r="N16" s="3" t="n">
        <v>25</v>
      </c>
      <c r="O16" s="3" t="n">
        <v>36</v>
      </c>
      <c r="P16" s="3" t="n">
        <v>27</v>
      </c>
      <c r="Q16" s="3" t="n">
        <v>27</v>
      </c>
      <c r="R16" s="3" t="n">
        <v>27</v>
      </c>
      <c r="S16" s="3" t="n">
        <v>3</v>
      </c>
      <c r="T16" s="3" t="n">
        <v>30</v>
      </c>
      <c r="U16" s="2" t="inlineStr">
        <is>
          <t>Tabel vedr. stifter og provstier slut torsdag</t>
        </is>
      </c>
      <c r="V16" s="2" t="inlineStr">
        <is>
          <t>provsti.dk-data fra tidligere app-datasæt</t>
        </is>
      </c>
    </row>
    <row r="17">
      <c r="A17" s="2" t="inlineStr">
        <is>
          <t>Haderslev Stift</t>
        </is>
      </c>
      <c r="B17" s="2" t="inlineStr">
        <is>
          <t>Vejle Provsti</t>
        </is>
      </c>
      <c r="C17" s="3" t="n">
        <v>105803</v>
      </c>
      <c r="D17" s="3" t="n">
        <v>76427</v>
      </c>
      <c r="E17" s="3" t="n">
        <v>29376</v>
      </c>
      <c r="F17" s="4" t="n">
        <v>0.722351918187575</v>
      </c>
      <c r="G17" s="3" t="n">
        <v>115251</v>
      </c>
      <c r="H17" s="3" t="n">
        <v>9448</v>
      </c>
      <c r="I17" s="4" t="n"/>
      <c r="J17" s="5" t="n">
        <v>157938.0588756277</v>
      </c>
      <c r="K17" s="5" t="n">
        <v>1579.380588756277</v>
      </c>
      <c r="L17" s="3" t="n">
        <v>24</v>
      </c>
      <c r="M17" s="3" t="n">
        <v>23</v>
      </c>
      <c r="N17" s="3" t="n">
        <v>27</v>
      </c>
      <c r="O17" s="3" t="n">
        <v>38</v>
      </c>
      <c r="P17" s="3" t="n">
        <v>40</v>
      </c>
      <c r="Q17" s="3" t="n">
        <v>40</v>
      </c>
      <c r="R17" s="3" t="n">
        <v>29</v>
      </c>
      <c r="S17" s="3" t="n">
        <v>13</v>
      </c>
      <c r="T17" s="3" t="n">
        <v>42</v>
      </c>
      <c r="U17" s="2" t="inlineStr">
        <is>
          <t>Tabel vedr. stifter og provstier slut torsdag</t>
        </is>
      </c>
      <c r="V17" s="2" t="inlineStr">
        <is>
          <t>provsti.dk-data fra tidligere app-datasæt</t>
        </is>
      </c>
    </row>
    <row r="18">
      <c r="A18" s="2" t="inlineStr">
        <is>
          <t>Haderslev Stift</t>
        </is>
      </c>
      <c r="B18" s="2" t="inlineStr">
        <is>
          <t>Aabenraa Provsti</t>
        </is>
      </c>
      <c r="C18" s="3" t="n">
        <v>58295</v>
      </c>
      <c r="D18" s="3" t="n">
        <v>42800</v>
      </c>
      <c r="E18" s="3" t="n">
        <v>15495</v>
      </c>
      <c r="F18" s="4" t="n">
        <v>0.734196757869457</v>
      </c>
      <c r="G18" s="3" t="n">
        <v>55521</v>
      </c>
      <c r="H18" s="3" t="n">
        <v>-2774</v>
      </c>
      <c r="I18" s="4" t="n"/>
      <c r="J18" s="5" t="n">
        <v>76710.97967256475</v>
      </c>
      <c r="K18" s="5" t="n">
        <v>767.1097967256474</v>
      </c>
      <c r="L18" s="3" t="n">
        <v>19</v>
      </c>
      <c r="M18" s="3" t="n">
        <v>16</v>
      </c>
      <c r="N18" s="3" t="n">
        <v>20</v>
      </c>
      <c r="O18" s="3" t="n">
        <v>26</v>
      </c>
      <c r="P18" s="3" t="n">
        <v>24</v>
      </c>
      <c r="Q18" s="3" t="n">
        <v>24</v>
      </c>
      <c r="R18" s="3" t="n">
        <v>23</v>
      </c>
      <c r="S18" s="3" t="n">
        <v>4</v>
      </c>
      <c r="T18" s="3" t="n">
        <v>27</v>
      </c>
      <c r="U18" s="2" t="inlineStr">
        <is>
          <t>Tabel vedr. stifter og provstier slut torsdag</t>
        </is>
      </c>
      <c r="V18" s="2" t="inlineStr">
        <is>
          <t>provsti.dk-data fra tidligere app-datasæt</t>
        </is>
      </c>
    </row>
    <row r="19">
      <c r="A19" s="2" t="inlineStr">
        <is>
          <t>Helsingør Stift</t>
        </is>
      </c>
      <c r="B19" s="2" t="inlineStr">
        <is>
          <t>Ballerup-Furesø Provsti</t>
        </is>
      </c>
      <c r="C19" s="3" t="n">
        <v>96886</v>
      </c>
      <c r="D19" s="3" t="n">
        <v>57614</v>
      </c>
      <c r="E19" s="3" t="n">
        <v>39272</v>
      </c>
      <c r="F19" s="4" t="n">
        <v>0.5946576388745536</v>
      </c>
      <c r="G19" s="3" t="n">
        <v>107269</v>
      </c>
      <c r="H19" s="3" t="n">
        <v>10383</v>
      </c>
      <c r="I19" s="4" t="n"/>
      <c r="J19" s="5" t="n">
        <v>94940.9066981123</v>
      </c>
      <c r="K19" s="5" t="n">
        <v>949.409066981123</v>
      </c>
      <c r="L19" s="3" t="n">
        <v>7</v>
      </c>
      <c r="M19" s="3" t="n">
        <v>6</v>
      </c>
      <c r="N19" s="3" t="n">
        <v>7</v>
      </c>
      <c r="O19" s="3" t="n">
        <v>13</v>
      </c>
      <c r="P19" s="3" t="n">
        <v>25</v>
      </c>
      <c r="Q19" s="3" t="n">
        <v>25</v>
      </c>
      <c r="R19" s="3" t="n">
        <v>20</v>
      </c>
      <c r="S19" s="3" t="n">
        <v>7</v>
      </c>
      <c r="T19" s="3" t="n">
        <v>27</v>
      </c>
      <c r="U19" s="2" t="inlineStr">
        <is>
          <t>Tabel vedr. stifter og provstier slut torsdag</t>
        </is>
      </c>
      <c r="V19" s="2" t="inlineStr">
        <is>
          <t>provsti.dk-data fra tidligere app-datasæt</t>
        </is>
      </c>
    </row>
    <row r="20">
      <c r="A20" s="2" t="inlineStr">
        <is>
          <t>Helsingør Stift</t>
        </is>
      </c>
      <c r="B20" s="2" t="inlineStr">
        <is>
          <t>Fredensborg Provsti</t>
        </is>
      </c>
      <c r="C20" s="3" t="n">
        <v>67449</v>
      </c>
      <c r="D20" s="3" t="n">
        <v>44535</v>
      </c>
      <c r="E20" s="3" t="n">
        <v>22914</v>
      </c>
      <c r="F20" s="4" t="n">
        <v>0.6602766534715118</v>
      </c>
      <c r="G20" s="3" t="n">
        <v>67792</v>
      </c>
      <c r="H20" s="3" t="n">
        <v>343</v>
      </c>
      <c r="I20" s="4" t="n"/>
      <c r="J20" s="5" t="n">
        <v>68792.45834325059</v>
      </c>
      <c r="K20" s="5" t="n">
        <v>687.9245834325059</v>
      </c>
      <c r="L20" s="3" t="n">
        <v>6</v>
      </c>
      <c r="M20" s="3" t="n">
        <v>6</v>
      </c>
      <c r="N20" s="3" t="n">
        <v>6</v>
      </c>
      <c r="O20" s="3" t="n">
        <v>13</v>
      </c>
      <c r="P20" s="3" t="n">
        <v>17</v>
      </c>
      <c r="Q20" s="3" t="n">
        <v>17</v>
      </c>
      <c r="R20" s="3" t="n">
        <v>17</v>
      </c>
      <c r="S20" s="3" t="n">
        <v>5</v>
      </c>
      <c r="T20" s="3" t="n">
        <v>22</v>
      </c>
      <c r="U20" s="2" t="inlineStr">
        <is>
          <t>Tabel vedr. stifter og provstier slut torsdag</t>
        </is>
      </c>
      <c r="V20" s="2" t="inlineStr">
        <is>
          <t>provsti.dk-data fra tidligere app-datasæt</t>
        </is>
      </c>
    </row>
    <row r="21">
      <c r="A21" s="2" t="inlineStr">
        <is>
          <t>Helsingør Stift</t>
        </is>
      </c>
      <c r="B21" s="2" t="inlineStr">
        <is>
          <t>Frederikssund Provsti</t>
        </is>
      </c>
      <c r="C21" s="3" t="n">
        <v>94104</v>
      </c>
      <c r="D21" s="3" t="n">
        <v>68391</v>
      </c>
      <c r="E21" s="3" t="n">
        <v>25713</v>
      </c>
      <c r="F21" s="4" t="n">
        <v>0.7267597551644989</v>
      </c>
      <c r="G21" s="3" t="n">
        <v>99395</v>
      </c>
      <c r="H21" s="3" t="n">
        <v>5291</v>
      </c>
      <c r="I21" s="4" t="n"/>
      <c r="J21" s="5" t="n">
        <v>121566.8698447989</v>
      </c>
      <c r="K21" s="5" t="n">
        <v>1215.668698447989</v>
      </c>
      <c r="L21" s="3" t="n">
        <v>17</v>
      </c>
      <c r="M21" s="3" t="n">
        <v>15</v>
      </c>
      <c r="N21" s="3" t="n">
        <v>25</v>
      </c>
      <c r="O21" s="3" t="n">
        <v>28</v>
      </c>
      <c r="P21" s="3" t="n">
        <v>32</v>
      </c>
      <c r="Q21" s="3" t="n">
        <v>32</v>
      </c>
      <c r="R21" s="3" t="n">
        <v>28</v>
      </c>
      <c r="S21" s="3" t="n">
        <v>7</v>
      </c>
      <c r="T21" s="3" t="n">
        <v>35</v>
      </c>
      <c r="U21" s="2" t="inlineStr">
        <is>
          <t>Tabel vedr. stifter og provstier slut torsdag</t>
        </is>
      </c>
      <c r="V21" s="2" t="inlineStr">
        <is>
          <t>provsti.dk-data fra tidligere app-datasæt</t>
        </is>
      </c>
    </row>
    <row r="22">
      <c r="A22" s="2" t="inlineStr">
        <is>
          <t>Helsingør Stift</t>
        </is>
      </c>
      <c r="B22" s="2" t="inlineStr">
        <is>
          <t>Frederiksværk Provsti</t>
        </is>
      </c>
      <c r="C22" s="3" t="n">
        <v>73710</v>
      </c>
      <c r="D22" s="3" t="n">
        <v>53698</v>
      </c>
      <c r="E22" s="3" t="n">
        <v>20012</v>
      </c>
      <c r="F22" s="4" t="n">
        <v>0.7285035951702619</v>
      </c>
      <c r="G22" s="3" t="n">
        <v>74147</v>
      </c>
      <c r="H22" s="3" t="n">
        <v>437</v>
      </c>
      <c r="I22" s="4" t="n"/>
      <c r="J22" s="5" t="n">
        <v>90257.52681630368</v>
      </c>
      <c r="K22" s="5" t="n">
        <v>902.5752681630369</v>
      </c>
      <c r="L22" s="3" t="n">
        <v>16</v>
      </c>
      <c r="M22" s="3" t="n">
        <v>13</v>
      </c>
      <c r="N22" s="3" t="n">
        <v>18</v>
      </c>
      <c r="O22" s="3" t="n">
        <v>25</v>
      </c>
      <c r="P22" s="3" t="n">
        <v>23</v>
      </c>
      <c r="Q22" s="3" t="n">
        <v>23</v>
      </c>
      <c r="R22" s="3" t="n">
        <v>23</v>
      </c>
      <c r="S22" s="3" t="n">
        <v>4</v>
      </c>
      <c r="T22" s="3" t="n">
        <v>27</v>
      </c>
      <c r="U22" s="2" t="inlineStr">
        <is>
          <t>Tabel vedr. stifter og provstier slut torsdag</t>
        </is>
      </c>
      <c r="V22" s="2" t="inlineStr">
        <is>
          <t>provsti.dk-data fra tidligere app-datasæt</t>
        </is>
      </c>
    </row>
    <row r="23">
      <c r="A23" s="2" t="inlineStr">
        <is>
          <t>Helsingør Stift</t>
        </is>
      </c>
      <c r="B23" s="2" t="inlineStr">
        <is>
          <t>Gentofte Provsti</t>
        </is>
      </c>
      <c r="C23" s="3" t="n">
        <v>75086</v>
      </c>
      <c r="D23" s="3" t="n">
        <v>48605</v>
      </c>
      <c r="E23" s="3" t="n">
        <v>26481</v>
      </c>
      <c r="F23" s="4" t="n">
        <v>0.6473244013531151</v>
      </c>
      <c r="G23" s="3" t="n">
        <v>71620</v>
      </c>
      <c r="H23" s="3" t="n">
        <v>-3466</v>
      </c>
      <c r="I23" s="4" t="n">
        <v>-0.04627503337783712</v>
      </c>
      <c r="J23" s="5" t="n">
        <v>62914.37686860403</v>
      </c>
      <c r="K23" s="5" t="n">
        <v>629.1437686860403</v>
      </c>
      <c r="L23" s="3" t="n">
        <v>9</v>
      </c>
      <c r="M23" s="3" t="n">
        <v>9</v>
      </c>
      <c r="N23" s="3" t="n">
        <v>9</v>
      </c>
      <c r="O23" s="3" t="n">
        <v>14</v>
      </c>
      <c r="P23" s="3" t="n">
        <v>19</v>
      </c>
      <c r="Q23" s="3" t="n">
        <v>19</v>
      </c>
      <c r="R23" s="3" t="n">
        <v>21</v>
      </c>
      <c r="S23" s="3" t="n">
        <v>3</v>
      </c>
      <c r="T23" s="3" t="n">
        <v>24</v>
      </c>
      <c r="U23" s="2" t="inlineStr">
        <is>
          <t>Tabel vedr. stifter og provstier slut torsdag</t>
        </is>
      </c>
      <c r="V23" s="2" t="inlineStr">
        <is>
          <t>provsti.dk-data fra tidligere app-datasæt</t>
        </is>
      </c>
    </row>
    <row r="24">
      <c r="A24" s="2" t="inlineStr">
        <is>
          <t>Helsingør Stift</t>
        </is>
      </c>
      <c r="B24" s="2" t="inlineStr">
        <is>
          <t>Gladsaxe-Herlev Provsti</t>
        </is>
      </c>
      <c r="C24" s="3" t="n">
        <v>103096</v>
      </c>
      <c r="D24" s="3" t="n">
        <v>55870</v>
      </c>
      <c r="E24" s="3" t="n">
        <v>47226</v>
      </c>
      <c r="F24" s="4" t="n">
        <v>0.5419220920307286</v>
      </c>
      <c r="G24" s="3" t="n">
        <v>107077</v>
      </c>
      <c r="H24" s="3" t="n">
        <v>3981</v>
      </c>
      <c r="I24" s="4" t="n">
        <v>0.03889062561056621</v>
      </c>
      <c r="J24" s="5" t="n">
        <v>94535.16960723001</v>
      </c>
      <c r="K24" s="5" t="n">
        <v>945.3516960723001</v>
      </c>
      <c r="L24" s="3" t="n">
        <v>10</v>
      </c>
      <c r="M24" s="3" t="n">
        <v>10</v>
      </c>
      <c r="N24" s="3" t="n">
        <v>11</v>
      </c>
      <c r="O24" s="3" t="n">
        <v>14</v>
      </c>
      <c r="P24" s="3" t="n">
        <v>28</v>
      </c>
      <c r="Q24" s="3" t="n">
        <v>28</v>
      </c>
      <c r="R24" s="3" t="n">
        <v>29</v>
      </c>
      <c r="S24" s="3" t="n">
        <v>4</v>
      </c>
      <c r="T24" s="3" t="n">
        <v>33</v>
      </c>
      <c r="U24" s="2" t="inlineStr">
        <is>
          <t>Tabel vedr. stifter og provstier slut torsdag</t>
        </is>
      </c>
      <c r="V24" s="2" t="inlineStr">
        <is>
          <t>provsti.dk-data fra tidligere app-datasæt</t>
        </is>
      </c>
    </row>
    <row r="25">
      <c r="A25" s="2" t="inlineStr">
        <is>
          <t>Helsingør Stift</t>
        </is>
      </c>
      <c r="B25" s="2" t="inlineStr">
        <is>
          <t>Glostrup Provsti</t>
        </is>
      </c>
      <c r="C25" s="3" t="n">
        <v>114960</v>
      </c>
      <c r="D25" s="3" t="n">
        <v>54408</v>
      </c>
      <c r="E25" s="3" t="n">
        <v>60552</v>
      </c>
      <c r="F25" s="4" t="n">
        <v>0.4732776617954071</v>
      </c>
      <c r="G25" s="3" t="n">
        <v>125095</v>
      </c>
      <c r="H25" s="3" t="n">
        <v>10135</v>
      </c>
      <c r="I25" s="4" t="n">
        <v>0.08960621010379644</v>
      </c>
      <c r="J25" s="5" t="n">
        <v>87883.82421879018</v>
      </c>
      <c r="K25" s="5" t="n">
        <v>878.8382421879018</v>
      </c>
      <c r="L25" s="3" t="n">
        <v>9</v>
      </c>
      <c r="M25" s="3" t="n">
        <v>9</v>
      </c>
      <c r="N25" s="3" t="n">
        <v>9</v>
      </c>
      <c r="O25" s="3" t="n">
        <v>17</v>
      </c>
      <c r="P25" s="3" t="n">
        <v>29</v>
      </c>
      <c r="Q25" s="3" t="n">
        <v>29</v>
      </c>
      <c r="R25" s="3" t="n">
        <v>29</v>
      </c>
      <c r="S25" s="3" t="n">
        <v>4</v>
      </c>
      <c r="T25" s="3" t="n">
        <v>33</v>
      </c>
      <c r="U25" s="2" t="inlineStr">
        <is>
          <t>Tabel vedr. stifter og provstier slut torsdag</t>
        </is>
      </c>
      <c r="V25" s="2" t="inlineStr">
        <is>
          <t>provsti.dk-data fra tidligere app-datasæt</t>
        </is>
      </c>
    </row>
    <row r="26">
      <c r="A26" s="2" t="inlineStr">
        <is>
          <t>Helsingør Stift</t>
        </is>
      </c>
      <c r="B26" s="2" t="inlineStr">
        <is>
          <t>Helsingør Domprovsti</t>
        </is>
      </c>
      <c r="C26" s="3" t="n">
        <v>64392</v>
      </c>
      <c r="D26" s="3" t="n">
        <v>43290</v>
      </c>
      <c r="E26" s="3" t="n">
        <v>21102</v>
      </c>
      <c r="F26" s="4" t="n">
        <v>0.6722884830413716</v>
      </c>
      <c r="G26" s="3" t="n">
        <v>65520</v>
      </c>
      <c r="H26" s="3" t="n">
        <v>1128</v>
      </c>
      <c r="I26" s="4" t="n">
        <v>0.01758104738154613</v>
      </c>
      <c r="J26" s="5" t="n">
        <v>55124.83843623724</v>
      </c>
      <c r="K26" s="5" t="n">
        <v>551.2483843623723</v>
      </c>
      <c r="L26" s="3" t="n">
        <v>10</v>
      </c>
      <c r="M26" s="3" t="n">
        <v>9</v>
      </c>
      <c r="N26" s="3" t="n">
        <v>10</v>
      </c>
      <c r="O26" s="3" t="n">
        <v>12</v>
      </c>
      <c r="P26" s="3" t="n">
        <v>21</v>
      </c>
      <c r="Q26" s="3" t="n">
        <v>21</v>
      </c>
      <c r="R26" s="3" t="n">
        <v>17</v>
      </c>
      <c r="S26" s="3" t="n">
        <v>6</v>
      </c>
      <c r="T26" s="3" t="n">
        <v>23</v>
      </c>
      <c r="U26" s="2" t="inlineStr">
        <is>
          <t>Tabel vedr. stifter og provstier slut torsdag</t>
        </is>
      </c>
      <c r="V26" s="2" t="inlineStr">
        <is>
          <t>provsti.dk-data fra tidligere app-datasæt</t>
        </is>
      </c>
    </row>
    <row r="27">
      <c r="A27" s="2" t="inlineStr">
        <is>
          <t>Helsingør Stift</t>
        </is>
      </c>
      <c r="B27" s="2" t="inlineStr">
        <is>
          <t>Hillerød Provsti</t>
        </is>
      </c>
      <c r="C27" s="3" t="n">
        <v>82244</v>
      </c>
      <c r="D27" s="3" t="n">
        <v>56842</v>
      </c>
      <c r="E27" s="3" t="n">
        <v>25402</v>
      </c>
      <c r="F27" s="4" t="n">
        <v>0.6911385632994504</v>
      </c>
      <c r="G27" s="3" t="n">
        <v>87112</v>
      </c>
      <c r="H27" s="3" t="n">
        <v>4868</v>
      </c>
      <c r="I27" s="4" t="n"/>
      <c r="J27" s="5" t="n">
        <v>79963.17702567035</v>
      </c>
      <c r="K27" s="5" t="n">
        <v>799.6317702567035</v>
      </c>
      <c r="L27" s="3" t="n">
        <v>15</v>
      </c>
      <c r="M27" s="3" t="n">
        <v>14</v>
      </c>
      <c r="N27" s="3" t="n">
        <v>20</v>
      </c>
      <c r="O27" s="3" t="n">
        <v>25</v>
      </c>
      <c r="P27" s="3" t="n">
        <v>27</v>
      </c>
      <c r="Q27" s="3" t="n">
        <v>27</v>
      </c>
      <c r="R27" s="3" t="n">
        <v>21</v>
      </c>
      <c r="S27" s="3" t="n">
        <v>10</v>
      </c>
      <c r="T27" s="3" t="n">
        <v>31</v>
      </c>
      <c r="U27" s="2" t="inlineStr">
        <is>
          <t>Tabel vedr. stifter og provstier slut torsdag</t>
        </is>
      </c>
      <c r="V27" s="2" t="inlineStr">
        <is>
          <t>provsti.dk-data fra tidligere app-datasæt</t>
        </is>
      </c>
    </row>
    <row r="28">
      <c r="A28" s="2" t="inlineStr">
        <is>
          <t>Helsingør Stift</t>
        </is>
      </c>
      <c r="B28" s="2" t="inlineStr">
        <is>
          <t>Høje Taastrup Provsti</t>
        </is>
      </c>
      <c r="C28" s="3" t="n">
        <v>85576</v>
      </c>
      <c r="D28" s="3" t="n">
        <v>37529</v>
      </c>
      <c r="E28" s="3" t="n">
        <v>48047</v>
      </c>
      <c r="F28" s="4" t="n">
        <v>0.4385458539777508</v>
      </c>
      <c r="G28" s="3" t="n">
        <v>95946</v>
      </c>
      <c r="H28" s="3" t="n">
        <v>10370</v>
      </c>
      <c r="I28" s="4" t="n"/>
      <c r="J28" s="5" t="n">
        <v>63559.28003767094</v>
      </c>
      <c r="K28" s="5" t="n">
        <v>635.5928003767094</v>
      </c>
      <c r="L28" s="3" t="n">
        <v>9</v>
      </c>
      <c r="M28" s="3" t="n">
        <v>7</v>
      </c>
      <c r="N28" s="3" t="n">
        <v>9</v>
      </c>
      <c r="O28" s="3" t="n">
        <v>11</v>
      </c>
      <c r="P28" s="3" t="n">
        <v>18</v>
      </c>
      <c r="Q28" s="3" t="n">
        <v>18</v>
      </c>
      <c r="R28" s="3" t="n">
        <v>16</v>
      </c>
      <c r="S28" s="3" t="n">
        <v>4</v>
      </c>
      <c r="T28" s="3" t="n">
        <v>20</v>
      </c>
      <c r="U28" s="2" t="inlineStr">
        <is>
          <t>Tabel vedr. stifter og provstier slut torsdag</t>
        </is>
      </c>
      <c r="V28" s="2" t="inlineStr">
        <is>
          <t>provsti.dk-data fra tidligere app-datasæt</t>
        </is>
      </c>
    </row>
    <row r="29">
      <c r="A29" s="2" t="inlineStr">
        <is>
          <t>Helsingør Stift</t>
        </is>
      </c>
      <c r="B29" s="2" t="inlineStr">
        <is>
          <t>Kongens Lyngby Provsti</t>
        </is>
      </c>
      <c r="C29" s="3" t="n">
        <v>58922</v>
      </c>
      <c r="D29" s="3" t="n">
        <v>36601</v>
      </c>
      <c r="E29" s="3" t="n">
        <v>22321</v>
      </c>
      <c r="F29" s="4" t="n">
        <v>0.6211771494518177</v>
      </c>
      <c r="G29" s="3" t="n">
        <v>59593</v>
      </c>
      <c r="H29" s="3" t="n">
        <v>671</v>
      </c>
      <c r="I29" s="4" t="n"/>
      <c r="J29" s="5" t="n">
        <v>63228.43109959533</v>
      </c>
      <c r="K29" s="5" t="n">
        <v>632.2843109959534</v>
      </c>
      <c r="L29" s="3" t="n">
        <v>6</v>
      </c>
      <c r="M29" s="3" t="n">
        <v>6</v>
      </c>
      <c r="N29" s="3" t="n">
        <v>6</v>
      </c>
      <c r="O29" s="3" t="n">
        <v>10</v>
      </c>
      <c r="P29" s="3" t="n">
        <v>18</v>
      </c>
      <c r="Q29" s="3" t="n">
        <v>18</v>
      </c>
      <c r="R29" s="3" t="n">
        <v>14</v>
      </c>
      <c r="S29" s="3" t="n">
        <v>7</v>
      </c>
      <c r="T29" s="3" t="n">
        <v>21</v>
      </c>
      <c r="U29" s="2" t="inlineStr">
        <is>
          <t>Tabel vedr. stifter og provstier slut torsdag</t>
        </is>
      </c>
      <c r="V29" s="2" t="inlineStr">
        <is>
          <t>provsti.dk-data fra tidligere app-datasæt</t>
        </is>
      </c>
    </row>
    <row r="30">
      <c r="A30" s="2" t="inlineStr">
        <is>
          <t>Helsingør Stift</t>
        </is>
      </c>
      <c r="B30" s="2" t="inlineStr">
        <is>
          <t>Rudersdal Provsti</t>
        </is>
      </c>
      <c r="C30" s="3" t="n">
        <v>58077</v>
      </c>
      <c r="D30" s="3" t="n">
        <v>39123</v>
      </c>
      <c r="E30" s="3" t="n">
        <v>18954</v>
      </c>
      <c r="F30" s="4" t="n">
        <v>0.6736401673640168</v>
      </c>
      <c r="G30" s="3" t="n">
        <v>56728</v>
      </c>
      <c r="H30" s="3" t="n">
        <v>-1349</v>
      </c>
      <c r="I30" s="4" t="n"/>
      <c r="J30" s="5" t="n">
        <v>66611.50824923345</v>
      </c>
      <c r="K30" s="5" t="n">
        <v>666.1150824923345</v>
      </c>
      <c r="L30" s="3" t="n">
        <v>8</v>
      </c>
      <c r="M30" s="3" t="n">
        <v>8</v>
      </c>
      <c r="N30" s="3" t="n">
        <v>8</v>
      </c>
      <c r="O30" s="3" t="n">
        <v>11</v>
      </c>
      <c r="P30" s="3" t="n">
        <v>20</v>
      </c>
      <c r="Q30" s="3" t="n">
        <v>20</v>
      </c>
      <c r="R30" s="3" t="n">
        <v>15</v>
      </c>
      <c r="S30" s="3" t="n">
        <v>5</v>
      </c>
      <c r="T30" s="3" t="n">
        <v>20</v>
      </c>
      <c r="U30" s="2" t="inlineStr">
        <is>
          <t>Tabel vedr. stifter og provstier slut torsdag</t>
        </is>
      </c>
      <c r="V30" s="2" t="inlineStr">
        <is>
          <t>provsti.dk-data fra tidligere app-datasæt</t>
        </is>
      </c>
    </row>
    <row r="31">
      <c r="A31" s="2" t="inlineStr">
        <is>
          <t>Helsingør Stift</t>
        </is>
      </c>
      <c r="B31" s="2" t="inlineStr">
        <is>
          <t>Rødovre-Hvidovre Provsti</t>
        </is>
      </c>
      <c r="C31" s="3" t="n">
        <v>99291</v>
      </c>
      <c r="D31" s="3" t="n">
        <v>56326</v>
      </c>
      <c r="E31" s="3" t="n">
        <v>42965</v>
      </c>
      <c r="F31" s="4" t="n">
        <v>0.5672820295897916</v>
      </c>
      <c r="G31" s="3" t="n">
        <v>104534</v>
      </c>
      <c r="H31" s="3" t="n">
        <v>5243</v>
      </c>
      <c r="I31" s="4" t="n"/>
      <c r="J31" s="5" t="n">
        <v>80698.24954715314</v>
      </c>
      <c r="K31" s="5" t="n">
        <v>806.9824954715315</v>
      </c>
      <c r="L31" s="3" t="n">
        <v>8</v>
      </c>
      <c r="M31" s="3" t="n">
        <v>8</v>
      </c>
      <c r="N31" s="3" t="n">
        <v>8</v>
      </c>
      <c r="O31" s="3" t="n">
        <v>14</v>
      </c>
      <c r="P31" s="3" t="n">
        <v>25</v>
      </c>
      <c r="Q31" s="3" t="n">
        <v>25</v>
      </c>
      <c r="R31" s="3" t="n">
        <v>26</v>
      </c>
      <c r="S31" s="3" t="n">
        <v>1</v>
      </c>
      <c r="T31" s="3" t="n">
        <v>27</v>
      </c>
      <c r="U31" s="2" t="inlineStr">
        <is>
          <t>Tabel vedr. stifter og provstier slut torsdag</t>
        </is>
      </c>
      <c r="V31" s="2" t="inlineStr">
        <is>
          <t>provsti.dk-data fra tidligere app-datasæt</t>
        </is>
      </c>
    </row>
    <row r="32">
      <c r="A32" s="2" t="inlineStr">
        <is>
          <t>Københavns Stift</t>
        </is>
      </c>
      <c r="B32" s="2" t="inlineStr">
        <is>
          <t>Amagerbro Provsti</t>
        </is>
      </c>
      <c r="C32" s="3" t="n">
        <v>170117</v>
      </c>
      <c r="D32" s="3" t="n">
        <v>82209</v>
      </c>
      <c r="E32" s="3" t="n">
        <v>87908</v>
      </c>
      <c r="F32" s="4" t="n">
        <v>0.4832497633981319</v>
      </c>
      <c r="G32" s="3" t="n"/>
      <c r="H32" s="3" t="n"/>
      <c r="I32" s="4" t="n"/>
      <c r="J32" s="5" t="n"/>
      <c r="K32" s="5" t="n">
        <v>0</v>
      </c>
      <c r="L32" s="3" t="n">
        <v>12</v>
      </c>
      <c r="M32" s="3" t="n">
        <v>10</v>
      </c>
      <c r="N32" s="3" t="n">
        <v>12</v>
      </c>
      <c r="O32" s="3" t="n">
        <v>16</v>
      </c>
      <c r="P32" s="3" t="n">
        <v>33</v>
      </c>
      <c r="Q32" s="3" t="n">
        <v>33</v>
      </c>
      <c r="R32" s="3" t="n">
        <v>31</v>
      </c>
      <c r="S32" s="3" t="n">
        <v>5</v>
      </c>
      <c r="T32" s="3" t="n">
        <v>36</v>
      </c>
      <c r="U32" s="2" t="inlineStr">
        <is>
          <t>Tabel vedr. stifter og provstier slut torsdag</t>
        </is>
      </c>
      <c r="V32" s="2" t="inlineStr">
        <is>
          <t>provsti.dk-data fra tidligere app-datasæt</t>
        </is>
      </c>
    </row>
    <row r="33">
      <c r="A33" s="2" t="inlineStr">
        <is>
          <t>Københavns Stift</t>
        </is>
      </c>
      <c r="B33" s="2" t="inlineStr">
        <is>
          <t>Amagerland Provsti</t>
        </is>
      </c>
      <c r="C33" s="3" t="n">
        <v>58698</v>
      </c>
      <c r="D33" s="3" t="n">
        <v>40442</v>
      </c>
      <c r="E33" s="3" t="n">
        <v>18256</v>
      </c>
      <c r="F33" s="4" t="n">
        <v>0.6889842924801527</v>
      </c>
      <c r="G33" s="3" t="n">
        <v>58895</v>
      </c>
      <c r="H33" s="3" t="n">
        <v>197</v>
      </c>
      <c r="I33" s="4" t="n">
        <v>0.00335793546627576</v>
      </c>
      <c r="J33" s="5" t="n">
        <v>48688.61047352199</v>
      </c>
      <c r="K33" s="5" t="n">
        <v>486.8861047352199</v>
      </c>
      <c r="L33" s="3" t="n">
        <v>6</v>
      </c>
      <c r="M33" s="3" t="n">
        <v>6</v>
      </c>
      <c r="N33" s="3" t="n">
        <v>6</v>
      </c>
      <c r="O33" s="3" t="n">
        <v>9</v>
      </c>
      <c r="P33" s="3" t="n">
        <v>18</v>
      </c>
      <c r="Q33" s="3" t="n">
        <v>18</v>
      </c>
      <c r="R33" s="3" t="n">
        <v>15</v>
      </c>
      <c r="S33" s="3" t="n">
        <v>4</v>
      </c>
      <c r="T33" s="3" t="n">
        <v>19</v>
      </c>
      <c r="U33" s="2" t="inlineStr">
        <is>
          <t>Tabel vedr. stifter og provstier slut torsdag</t>
        </is>
      </c>
      <c r="V33" s="2" t="inlineStr">
        <is>
          <t>provsti.dk-data fra tidligere app-datasæt</t>
        </is>
      </c>
    </row>
    <row r="34">
      <c r="A34" s="2" t="inlineStr">
        <is>
          <t>Københavns Stift</t>
        </is>
      </c>
      <c r="B34" s="2" t="inlineStr">
        <is>
          <t>Bispebjerg-Brønshøj Provsti</t>
        </is>
      </c>
      <c r="C34" s="3" t="n">
        <v>96440</v>
      </c>
      <c r="D34" s="3" t="n">
        <v>40597</v>
      </c>
      <c r="E34" s="3" t="n">
        <v>55843</v>
      </c>
      <c r="F34" s="4" t="n">
        <v>0.4209560348403152</v>
      </c>
      <c r="G34" s="3" t="n"/>
      <c r="H34" s="3" t="n"/>
      <c r="I34" s="4" t="n"/>
      <c r="J34" s="5" t="n"/>
      <c r="K34" s="5" t="n">
        <v>0</v>
      </c>
      <c r="L34" s="3" t="n">
        <v>10</v>
      </c>
      <c r="M34" s="3" t="n">
        <v>9</v>
      </c>
      <c r="N34" s="3" t="n">
        <v>10</v>
      </c>
      <c r="O34" s="3" t="n">
        <v>14</v>
      </c>
      <c r="P34" s="3" t="n">
        <v>25</v>
      </c>
      <c r="Q34" s="3" t="n">
        <v>25</v>
      </c>
      <c r="R34" s="3" t="n">
        <v>21</v>
      </c>
      <c r="S34" s="3" t="n">
        <v>8</v>
      </c>
      <c r="T34" s="3" t="n">
        <v>29</v>
      </c>
      <c r="U34" s="2" t="inlineStr">
        <is>
          <t>Tabel vedr. stifter og provstier slut torsdag</t>
        </is>
      </c>
      <c r="V34" s="2" t="inlineStr">
        <is>
          <t>provsti.dk-data fra tidligere app-datasæt</t>
        </is>
      </c>
    </row>
    <row r="35">
      <c r="A35" s="2" t="inlineStr">
        <is>
          <t>Københavns Stift</t>
        </is>
      </c>
      <c r="B35" s="2" t="inlineStr">
        <is>
          <t>Bornholms Provsti</t>
        </is>
      </c>
      <c r="C35" s="3" t="n">
        <v>38703</v>
      </c>
      <c r="D35" s="3" t="n">
        <v>29081</v>
      </c>
      <c r="E35" s="3" t="n">
        <v>9622</v>
      </c>
      <c r="F35" s="4" t="n">
        <v>0.751388781231429</v>
      </c>
      <c r="G35" s="3" t="n">
        <v>35560</v>
      </c>
      <c r="H35" s="3" t="n">
        <v>-3143</v>
      </c>
      <c r="I35" s="4" t="n">
        <v>-0.08100724245470244</v>
      </c>
      <c r="J35" s="5" t="n">
        <v>49111.13704636883</v>
      </c>
      <c r="K35" s="5" t="n">
        <v>491.1113704636883</v>
      </c>
      <c r="L35" s="3" t="n">
        <v>18</v>
      </c>
      <c r="M35" s="3" t="n">
        <v>14</v>
      </c>
      <c r="N35" s="3" t="n">
        <v>22</v>
      </c>
      <c r="O35" s="3" t="n">
        <v>29</v>
      </c>
      <c r="P35" s="3" t="n">
        <v>18</v>
      </c>
      <c r="Q35" s="3" t="n">
        <v>18</v>
      </c>
      <c r="R35" s="3" t="n">
        <v>20</v>
      </c>
      <c r="S35" s="3" t="n">
        <v>1</v>
      </c>
      <c r="T35" s="3" t="n">
        <v>21</v>
      </c>
      <c r="U35" s="2" t="inlineStr">
        <is>
          <t>Tabel vedr. stifter og provstier slut torsdag</t>
        </is>
      </c>
      <c r="V35" s="2" t="inlineStr">
        <is>
          <t>provsti.dk-data fra tidligere app-datasæt</t>
        </is>
      </c>
    </row>
    <row r="36">
      <c r="A36" s="2" t="inlineStr">
        <is>
          <t>Københavns Stift</t>
        </is>
      </c>
      <c r="B36" s="2" t="inlineStr">
        <is>
          <t>Frederiksberg Provsti</t>
        </is>
      </c>
      <c r="C36" s="3" t="n">
        <v>106433</v>
      </c>
      <c r="D36" s="3" t="n">
        <v>61301</v>
      </c>
      <c r="E36" s="3" t="n">
        <v>45132</v>
      </c>
      <c r="F36" s="4" t="n">
        <v>0.5759585842736745</v>
      </c>
      <c r="G36" s="3" t="n">
        <v>102632</v>
      </c>
      <c r="H36" s="3" t="n">
        <v>-3801</v>
      </c>
      <c r="I36" s="4" t="n">
        <v>-0.03588930119253321</v>
      </c>
      <c r="J36" s="5" t="n">
        <v>70094.21407146062</v>
      </c>
      <c r="K36" s="5" t="n">
        <v>700.9421407146061</v>
      </c>
      <c r="L36" s="3" t="n">
        <v>9</v>
      </c>
      <c r="M36" s="3" t="n">
        <v>9</v>
      </c>
      <c r="N36" s="3" t="n">
        <v>9</v>
      </c>
      <c r="O36" s="3" t="n">
        <v>18</v>
      </c>
      <c r="P36" s="3" t="n">
        <v>28</v>
      </c>
      <c r="Q36" s="3" t="n">
        <v>28</v>
      </c>
      <c r="R36" s="3" t="n">
        <v>28</v>
      </c>
      <c r="S36" s="3" t="n">
        <v>1</v>
      </c>
      <c r="T36" s="3" t="n">
        <v>29</v>
      </c>
      <c r="U36" s="2" t="inlineStr">
        <is>
          <t>Tabel vedr. stifter og provstier slut torsdag</t>
        </is>
      </c>
      <c r="V36" s="2" t="inlineStr">
        <is>
          <t>provsti.dk-data fra tidligere app-datasæt</t>
        </is>
      </c>
    </row>
    <row r="37">
      <c r="A37" s="2" t="inlineStr">
        <is>
          <t>Københavns Stift</t>
        </is>
      </c>
      <c r="B37" s="2" t="inlineStr">
        <is>
          <t>Holmens og Østerbro Provsti</t>
        </is>
      </c>
      <c r="C37" s="3" t="n">
        <v>112850</v>
      </c>
      <c r="D37" s="3" t="n">
        <v>61354</v>
      </c>
      <c r="E37" s="3" t="n">
        <v>51496</v>
      </c>
      <c r="F37" s="4" t="n">
        <v>0.543677447939743</v>
      </c>
      <c r="G37" s="3" t="n"/>
      <c r="H37" s="3" t="n"/>
      <c r="I37" s="4" t="n"/>
      <c r="J37" s="5" t="n"/>
      <c r="K37" s="5" t="n">
        <v>0</v>
      </c>
      <c r="L37" s="3" t="n">
        <v>14</v>
      </c>
      <c r="M37" s="3" t="n">
        <v>13</v>
      </c>
      <c r="N37" s="3" t="n">
        <v>14</v>
      </c>
      <c r="O37" s="3" t="n">
        <v>20</v>
      </c>
      <c r="P37" s="3" t="n">
        <v>28</v>
      </c>
      <c r="Q37" s="3" t="n">
        <v>28</v>
      </c>
      <c r="R37" s="3" t="n">
        <v>26</v>
      </c>
      <c r="S37" s="3" t="n">
        <v>3</v>
      </c>
      <c r="T37" s="3" t="n">
        <v>29</v>
      </c>
      <c r="U37" s="2" t="inlineStr">
        <is>
          <t>Tabel vedr. stifter og provstier slut torsdag</t>
        </is>
      </c>
      <c r="V37" s="2" t="inlineStr">
        <is>
          <t>provsti.dk-data fra tidligere app-datasæt</t>
        </is>
      </c>
    </row>
    <row r="38">
      <c r="A38" s="2" t="inlineStr">
        <is>
          <t>Københavns Stift</t>
        </is>
      </c>
      <c r="B38" s="2" t="inlineStr">
        <is>
          <t>Nørrebro Provsti</t>
        </is>
      </c>
      <c r="C38" s="3" t="n">
        <v>76456</v>
      </c>
      <c r="D38" s="3" t="n">
        <v>35310</v>
      </c>
      <c r="E38" s="3" t="n">
        <v>41146</v>
      </c>
      <c r="F38" s="4" t="n">
        <v>0.4618342576122214</v>
      </c>
      <c r="G38" s="3" t="n">
        <v>105725</v>
      </c>
      <c r="H38" s="3" t="n">
        <v>29269</v>
      </c>
      <c r="I38" s="4" t="n">
        <v>0.04351077177396816</v>
      </c>
      <c r="J38" s="5" t="n">
        <v>591550.6482788022</v>
      </c>
      <c r="K38" s="5" t="n">
        <v>5915.506482788021</v>
      </c>
      <c r="L38" s="3" t="n">
        <v>6</v>
      </c>
      <c r="M38" s="3" t="n">
        <v>5</v>
      </c>
      <c r="N38" s="3" t="n">
        <v>6</v>
      </c>
      <c r="O38" s="3" t="n">
        <v>12</v>
      </c>
      <c r="P38" s="3" t="n">
        <v>19</v>
      </c>
      <c r="Q38" s="3" t="n">
        <v>19</v>
      </c>
      <c r="R38" s="3" t="n">
        <v>17</v>
      </c>
      <c r="S38" s="3" t="n">
        <v>1</v>
      </c>
      <c r="T38" s="3" t="n">
        <v>18</v>
      </c>
      <c r="U38" s="2" t="inlineStr">
        <is>
          <t>Tabel vedr. stifter og provstier slut torsdag</t>
        </is>
      </c>
      <c r="V38" s="2" t="inlineStr">
        <is>
          <t>provsti.dk-data fra tidligere app-datasæt</t>
        </is>
      </c>
    </row>
    <row r="39">
      <c r="A39" s="2" t="inlineStr">
        <is>
          <t>Københavns Stift</t>
        </is>
      </c>
      <c r="B39" s="2" t="inlineStr">
        <is>
          <t>Valby-Vanløse Provsti</t>
        </is>
      </c>
      <c r="C39" s="3" t="n">
        <v>108748</v>
      </c>
      <c r="D39" s="3" t="n">
        <v>56847</v>
      </c>
      <c r="E39" s="3" t="n">
        <v>51901</v>
      </c>
      <c r="F39" s="4" t="n">
        <v>0.5227406481038732</v>
      </c>
      <c r="G39" s="3" t="n"/>
      <c r="H39" s="3" t="n"/>
      <c r="I39" s="4" t="n"/>
      <c r="J39" s="5" t="n"/>
      <c r="K39" s="5" t="n">
        <v>0</v>
      </c>
      <c r="L39" s="3" t="n">
        <v>9</v>
      </c>
      <c r="M39" s="3" t="n">
        <v>9</v>
      </c>
      <c r="N39" s="3" t="n">
        <v>9</v>
      </c>
      <c r="O39" s="3" t="n">
        <v>12</v>
      </c>
      <c r="P39" s="3" t="n">
        <v>24</v>
      </c>
      <c r="Q39" s="3" t="n">
        <v>24</v>
      </c>
      <c r="R39" s="3" t="n">
        <v>23</v>
      </c>
      <c r="S39" s="3" t="n">
        <v>2</v>
      </c>
      <c r="T39" s="3" t="n">
        <v>25</v>
      </c>
      <c r="U39" s="2" t="inlineStr">
        <is>
          <t>Tabel vedr. stifter og provstier slut torsdag</t>
        </is>
      </c>
      <c r="V39" s="2" t="inlineStr">
        <is>
          <t>provsti.dk-data fra tidligere app-datasæt</t>
        </is>
      </c>
    </row>
    <row r="40">
      <c r="A40" s="2" t="inlineStr">
        <is>
          <t>Københavns Stift</t>
        </is>
      </c>
      <c r="B40" s="2" t="inlineStr">
        <is>
          <t>Vor Frue-Vesterbro Provsti</t>
        </is>
      </c>
      <c r="C40" s="3" t="n">
        <v>108827</v>
      </c>
      <c r="D40" s="3" t="n">
        <v>51772</v>
      </c>
      <c r="E40" s="3" t="n">
        <v>57055</v>
      </c>
      <c r="F40" s="4" t="n">
        <v>0.4757275308517188</v>
      </c>
      <c r="G40" s="3" t="n"/>
      <c r="H40" s="3" t="n"/>
      <c r="I40" s="4" t="n"/>
      <c r="J40" s="5" t="n"/>
      <c r="K40" s="5" t="n">
        <v>0</v>
      </c>
      <c r="L40" s="3" t="n">
        <v>7</v>
      </c>
      <c r="M40" s="3" t="n">
        <v>7</v>
      </c>
      <c r="N40" s="3" t="n">
        <v>7</v>
      </c>
      <c r="O40" s="3" t="n">
        <v>20</v>
      </c>
      <c r="P40" s="3" t="n">
        <v>32</v>
      </c>
      <c r="Q40" s="3" t="n">
        <v>32</v>
      </c>
      <c r="R40" s="3" t="n">
        <v>23</v>
      </c>
      <c r="S40" s="3" t="n">
        <v>7</v>
      </c>
      <c r="T40" s="3" t="n">
        <v>30</v>
      </c>
      <c r="U40" s="2" t="inlineStr">
        <is>
          <t>Tabel vedr. stifter og provstier slut torsdag</t>
        </is>
      </c>
      <c r="V40" s="2" t="inlineStr">
        <is>
          <t>provsti.dk-data fra tidligere app-datasæt</t>
        </is>
      </c>
    </row>
    <row r="41">
      <c r="A41" s="2" t="inlineStr">
        <is>
          <t>Lolland-Falsters Stift</t>
        </is>
      </c>
      <c r="B41" s="2" t="inlineStr">
        <is>
          <t>Falster Provsti</t>
        </is>
      </c>
      <c r="C41" s="3" t="n">
        <v>41129</v>
      </c>
      <c r="D41" s="3" t="n">
        <v>31707</v>
      </c>
      <c r="E41" s="3" t="n">
        <v>9422</v>
      </c>
      <c r="F41" s="4" t="n">
        <v>0.7709158987575676</v>
      </c>
      <c r="G41" s="3" t="n"/>
      <c r="H41" s="3" t="n"/>
      <c r="I41" s="4" t="n"/>
      <c r="J41" s="5" t="n"/>
      <c r="K41" s="5" t="n">
        <v>0</v>
      </c>
      <c r="L41" s="3" t="n">
        <v>18</v>
      </c>
      <c r="M41" s="3" t="n">
        <v>14</v>
      </c>
      <c r="N41" s="3" t="n">
        <v>25</v>
      </c>
      <c r="O41" s="3" t="n">
        <v>38</v>
      </c>
      <c r="P41" s="3" t="n">
        <v>22</v>
      </c>
      <c r="Q41" s="3" t="n">
        <v>22</v>
      </c>
      <c r="R41" s="3" t="n">
        <v>20</v>
      </c>
      <c r="S41" s="3" t="n">
        <v>2</v>
      </c>
      <c r="T41" s="3" t="n">
        <v>22</v>
      </c>
      <c r="U41" s="2" t="inlineStr">
        <is>
          <t>Tabel vedr. stifter og provstier slut torsdag</t>
        </is>
      </c>
      <c r="V41" s="2" t="inlineStr">
        <is>
          <t>provsti.dk-data fra tidligere app-datasæt</t>
        </is>
      </c>
    </row>
    <row r="42">
      <c r="A42" s="2" t="inlineStr">
        <is>
          <t>Lolland-Falsters Stift</t>
        </is>
      </c>
      <c r="B42" s="2" t="inlineStr">
        <is>
          <t>Lolland Vestre Provsti</t>
        </is>
      </c>
      <c r="C42" s="3" t="n">
        <v>21083</v>
      </c>
      <c r="D42" s="3" t="n">
        <v>16207</v>
      </c>
      <c r="E42" s="3" t="n">
        <v>4876</v>
      </c>
      <c r="F42" s="4" t="n">
        <v>0.768723616183655</v>
      </c>
      <c r="G42" s="3" t="n">
        <v>17216</v>
      </c>
      <c r="H42" s="3" t="n">
        <v>-3867</v>
      </c>
      <c r="I42" s="4" t="n"/>
      <c r="J42" s="5" t="n">
        <v>68777.65752544157</v>
      </c>
      <c r="K42" s="5" t="n">
        <v>687.7765752544158</v>
      </c>
      <c r="L42" s="3" t="n">
        <v>15</v>
      </c>
      <c r="M42" s="3" t="n">
        <v>7</v>
      </c>
      <c r="N42" s="3" t="n">
        <v>24</v>
      </c>
      <c r="O42" s="3" t="n">
        <v>32</v>
      </c>
      <c r="P42" s="3" t="n">
        <v>13</v>
      </c>
      <c r="Q42" s="3" t="n">
        <v>13</v>
      </c>
      <c r="R42" s="3" t="n">
        <v>13</v>
      </c>
      <c r="S42" s="3" t="n">
        <v>1</v>
      </c>
      <c r="T42" s="3" t="n">
        <v>14</v>
      </c>
      <c r="U42" s="2" t="inlineStr">
        <is>
          <t>Tabel vedr. stifter og provstier slut torsdag</t>
        </is>
      </c>
      <c r="V42" s="2" t="inlineStr">
        <is>
          <t>provsti.dk-data fra tidligere app-datasæt</t>
        </is>
      </c>
    </row>
    <row r="43">
      <c r="A43" s="2" t="inlineStr">
        <is>
          <t>Lolland-Falsters Stift</t>
        </is>
      </c>
      <c r="B43" s="2" t="inlineStr">
        <is>
          <t>Lolland Østre Provsti</t>
        </is>
      </c>
      <c r="C43" s="3" t="n">
        <v>17875</v>
      </c>
      <c r="D43" s="3" t="n">
        <v>14300</v>
      </c>
      <c r="E43" s="3" t="n">
        <v>3575</v>
      </c>
      <c r="F43" s="4" t="n">
        <v>0.8</v>
      </c>
      <c r="G43" s="3" t="n">
        <v>14436</v>
      </c>
      <c r="H43" s="3" t="n">
        <v>-3439</v>
      </c>
      <c r="I43" s="4" t="n"/>
      <c r="J43" s="5" t="n">
        <v>98745.02042878669</v>
      </c>
      <c r="K43" s="5" t="n">
        <v>987.450204287867</v>
      </c>
      <c r="L43" s="3" t="n">
        <v>10</v>
      </c>
      <c r="M43" s="3" t="n">
        <v>7</v>
      </c>
      <c r="N43" s="3" t="n">
        <v>13</v>
      </c>
      <c r="O43" s="3" t="n">
        <v>23</v>
      </c>
      <c r="P43" s="3" t="n">
        <v>10</v>
      </c>
      <c r="Q43" s="3" t="n">
        <v>10</v>
      </c>
      <c r="R43" s="3" t="n">
        <v>11</v>
      </c>
      <c r="S43" s="3" t="n">
        <v>0</v>
      </c>
      <c r="T43" s="3" t="n">
        <v>11</v>
      </c>
      <c r="U43" s="2" t="inlineStr">
        <is>
          <t>Tabel vedr. stifter og provstier slut torsdag</t>
        </is>
      </c>
      <c r="V43" s="2" t="inlineStr">
        <is>
          <t>provsti.dk-data fra tidligere app-datasæt</t>
        </is>
      </c>
    </row>
    <row r="44">
      <c r="A44" s="2" t="inlineStr">
        <is>
          <t>Lolland-Falsters Stift</t>
        </is>
      </c>
      <c r="B44" s="2" t="inlineStr">
        <is>
          <t>Maribo Domprovsti</t>
        </is>
      </c>
      <c r="C44" s="3" t="n">
        <v>17333</v>
      </c>
      <c r="D44" s="3" t="n">
        <v>12889</v>
      </c>
      <c r="E44" s="3" t="n">
        <v>4444</v>
      </c>
      <c r="F44" s="4" t="n">
        <v>0.7436104540471932</v>
      </c>
      <c r="G44" s="3" t="n"/>
      <c r="H44" s="3" t="n"/>
      <c r="I44" s="4" t="n"/>
      <c r="J44" s="5" t="n"/>
      <c r="K44" s="5" t="n">
        <v>0</v>
      </c>
      <c r="L44" s="3" t="n">
        <v>15</v>
      </c>
      <c r="M44" s="3" t="n">
        <v>9</v>
      </c>
      <c r="N44" s="3" t="n">
        <v>16</v>
      </c>
      <c r="O44" s="3" t="n">
        <v>23</v>
      </c>
      <c r="P44" s="3" t="n">
        <v>10</v>
      </c>
      <c r="Q44" s="3" t="n">
        <v>10</v>
      </c>
      <c r="R44" s="3" t="n">
        <v>16</v>
      </c>
      <c r="S44" s="3" t="n">
        <v>0</v>
      </c>
      <c r="T44" s="3" t="n">
        <v>16</v>
      </c>
      <c r="U44" s="2" t="inlineStr">
        <is>
          <t>Tabel vedr. stifter og provstier slut torsdag</t>
        </is>
      </c>
      <c r="V44" s="2" t="inlineStr">
        <is>
          <t>provsti.dk-data fra tidligere app-datasæt</t>
        </is>
      </c>
    </row>
    <row r="45">
      <c r="A45" s="2" t="inlineStr">
        <is>
          <t>Ribe Stift</t>
        </is>
      </c>
      <c r="B45" s="2" t="inlineStr">
        <is>
          <t>Grene Provsti</t>
        </is>
      </c>
      <c r="C45" s="3" t="n">
        <v>45051</v>
      </c>
      <c r="D45" s="3" t="n">
        <v>34329</v>
      </c>
      <c r="E45" s="3" t="n">
        <v>10722</v>
      </c>
      <c r="F45" s="4" t="n">
        <v>0.7620030631950456</v>
      </c>
      <c r="G45" s="3" t="n">
        <v>45290</v>
      </c>
      <c r="H45" s="3" t="n">
        <v>239</v>
      </c>
      <c r="I45" s="4" t="n"/>
      <c r="J45" s="5" t="n">
        <v>35485.32578529065</v>
      </c>
      <c r="K45" s="5" t="n">
        <v>354.8532578529064</v>
      </c>
      <c r="L45" s="3" t="n">
        <v>15</v>
      </c>
      <c r="M45" s="3" t="n">
        <v>13</v>
      </c>
      <c r="N45" s="3" t="n">
        <v>25</v>
      </c>
      <c r="O45" s="3" t="n">
        <v>29</v>
      </c>
      <c r="P45" s="3" t="n">
        <v>18</v>
      </c>
      <c r="Q45" s="3" t="n">
        <v>18</v>
      </c>
      <c r="R45" s="3" t="n">
        <v>20</v>
      </c>
      <c r="S45" s="3" t="n">
        <v>2</v>
      </c>
      <c r="T45" s="3" t="n">
        <v>22</v>
      </c>
      <c r="U45" s="2" t="inlineStr">
        <is>
          <t>Tabel vedr. stifter og provstier slut torsdag</t>
        </is>
      </c>
      <c r="V45" s="2" t="inlineStr">
        <is>
          <t>provsti.dk-data fra tidligere app-datasæt</t>
        </is>
      </c>
    </row>
    <row r="46">
      <c r="A46" s="2" t="inlineStr">
        <is>
          <t>Ribe Stift</t>
        </is>
      </c>
      <c r="B46" s="2" t="inlineStr">
        <is>
          <t>Malt Provsti</t>
        </is>
      </c>
      <c r="C46" s="3" t="n">
        <v>42610</v>
      </c>
      <c r="D46" s="3" t="n">
        <v>33412</v>
      </c>
      <c r="E46" s="3" t="n">
        <v>9198</v>
      </c>
      <c r="F46" s="4" t="n">
        <v>0.7841351795353203</v>
      </c>
      <c r="G46" s="3" t="n">
        <v>41285</v>
      </c>
      <c r="H46" s="3" t="n">
        <v>-1325</v>
      </c>
      <c r="I46" s="4" t="n"/>
      <c r="J46" s="5" t="n">
        <v>69097.06548812437</v>
      </c>
      <c r="K46" s="5" t="n">
        <v>690.9706548812437</v>
      </c>
      <c r="L46" s="3" t="n">
        <v>23</v>
      </c>
      <c r="M46" s="3" t="n">
        <v>12</v>
      </c>
      <c r="N46" s="3" t="n">
        <v>24</v>
      </c>
      <c r="O46" s="3" t="n">
        <v>30</v>
      </c>
      <c r="P46" s="3" t="n">
        <v>16</v>
      </c>
      <c r="Q46" s="3" t="n">
        <v>16</v>
      </c>
      <c r="R46" s="3" t="n">
        <v>17</v>
      </c>
      <c r="S46" s="3" t="n">
        <v>3</v>
      </c>
      <c r="T46" s="3" t="n">
        <v>20</v>
      </c>
      <c r="U46" s="2" t="inlineStr">
        <is>
          <t>Tabel vedr. stifter og provstier slut torsdag</t>
        </is>
      </c>
      <c r="V46" s="2" t="inlineStr">
        <is>
          <t>provsti.dk-data fra tidligere app-datasæt</t>
        </is>
      </c>
    </row>
    <row r="47">
      <c r="A47" s="2" t="inlineStr">
        <is>
          <t>Ribe Stift</t>
        </is>
      </c>
      <c r="B47" s="2" t="inlineStr">
        <is>
          <t>Ribe Domprovsti</t>
        </is>
      </c>
      <c r="C47" s="3" t="n">
        <v>31317</v>
      </c>
      <c r="D47" s="3" t="n">
        <v>26588</v>
      </c>
      <c r="E47" s="3" t="n">
        <v>4729</v>
      </c>
      <c r="F47" s="4" t="n">
        <v>0.8489957531053421</v>
      </c>
      <c r="G47" s="3" t="n">
        <v>27563</v>
      </c>
      <c r="H47" s="3" t="n">
        <v>-3754</v>
      </c>
      <c r="I47" s="4" t="n"/>
      <c r="J47" s="5" t="n">
        <v>138718.3175146022</v>
      </c>
      <c r="K47" s="5" t="n">
        <v>1387.183175146022</v>
      </c>
      <c r="L47" s="3" t="n">
        <v>16</v>
      </c>
      <c r="M47" s="3" t="n">
        <v>10</v>
      </c>
      <c r="N47" s="3" t="n">
        <v>20</v>
      </c>
      <c r="O47" s="3" t="n">
        <v>24</v>
      </c>
      <c r="P47" s="3" t="n">
        <v>15</v>
      </c>
      <c r="Q47" s="3" t="n">
        <v>15</v>
      </c>
      <c r="R47" s="3" t="n">
        <v>21</v>
      </c>
      <c r="S47" s="3" t="n">
        <v>2</v>
      </c>
      <c r="T47" s="3" t="n">
        <v>23</v>
      </c>
      <c r="U47" s="2" t="inlineStr">
        <is>
          <t>Tabel vedr. stifter og provstier slut torsdag</t>
        </is>
      </c>
      <c r="V47" s="2" t="inlineStr">
        <is>
          <t>provsti.dk-data fra tidligere app-datasæt</t>
        </is>
      </c>
    </row>
    <row r="48">
      <c r="A48" s="2" t="inlineStr">
        <is>
          <t>Ribe Stift</t>
        </is>
      </c>
      <c r="B48" s="2" t="inlineStr">
        <is>
          <t>Ringkøbing Provsti</t>
        </is>
      </c>
      <c r="C48" s="3" t="n">
        <v>27814</v>
      </c>
      <c r="D48" s="3" t="n">
        <v>22253</v>
      </c>
      <c r="E48" s="3" t="n">
        <v>5561</v>
      </c>
      <c r="F48" s="4" t="n">
        <v>0.8000647156108435</v>
      </c>
      <c r="G48" s="3" t="n"/>
      <c r="H48" s="3" t="n"/>
      <c r="I48" s="4" t="n"/>
      <c r="J48" s="5" t="n"/>
      <c r="K48" s="5" t="n">
        <v>0</v>
      </c>
      <c r="L48" s="3" t="n">
        <v>18</v>
      </c>
      <c r="M48" s="3" t="n">
        <v>13</v>
      </c>
      <c r="N48" s="3" t="n">
        <v>26</v>
      </c>
      <c r="O48" s="3" t="n">
        <v>29</v>
      </c>
      <c r="P48" s="3" t="n">
        <v>16</v>
      </c>
      <c r="Q48" s="3" t="n">
        <v>16</v>
      </c>
      <c r="R48" s="3" t="n">
        <v>14</v>
      </c>
      <c r="S48" s="3" t="n">
        <v>3</v>
      </c>
      <c r="T48" s="3" t="n">
        <v>17</v>
      </c>
      <c r="U48" s="2" t="inlineStr">
        <is>
          <t>Tabel vedr. stifter og provstier slut torsdag</t>
        </is>
      </c>
      <c r="V48" s="2" t="inlineStr">
        <is>
          <t>provsti.dk-data fra tidligere app-datasæt</t>
        </is>
      </c>
    </row>
    <row r="49">
      <c r="A49" s="2" t="inlineStr">
        <is>
          <t>Ribe Stift</t>
        </is>
      </c>
      <c r="B49" s="2" t="inlineStr">
        <is>
          <t>Skads Provsti</t>
        </is>
      </c>
      <c r="C49" s="3" t="n">
        <v>87238</v>
      </c>
      <c r="D49" s="3" t="n">
        <v>67227</v>
      </c>
      <c r="E49" s="3" t="n">
        <v>20011</v>
      </c>
      <c r="F49" s="4" t="n">
        <v>0.7706160159563493</v>
      </c>
      <c r="G49" s="3" t="n">
        <v>86740</v>
      </c>
      <c r="H49" s="3" t="n">
        <v>-498</v>
      </c>
      <c r="I49" s="4" t="n"/>
      <c r="J49" s="5" t="n">
        <v>6306.180463440613</v>
      </c>
      <c r="K49" s="5" t="n">
        <v>63.06180463440614</v>
      </c>
      <c r="L49" s="3" t="n">
        <v>17</v>
      </c>
      <c r="M49" s="3" t="n">
        <v>15</v>
      </c>
      <c r="N49" s="3" t="n">
        <v>18</v>
      </c>
      <c r="O49" s="3" t="n">
        <v>23</v>
      </c>
      <c r="P49" s="3" t="n">
        <v>32</v>
      </c>
      <c r="Q49" s="3" t="n">
        <v>32</v>
      </c>
      <c r="R49" s="3" t="n">
        <v>29</v>
      </c>
      <c r="S49" s="3" t="n">
        <v>9</v>
      </c>
      <c r="T49" s="3" t="n">
        <v>38</v>
      </c>
      <c r="U49" s="2" t="inlineStr">
        <is>
          <t>Tabel vedr. stifter og provstier slut torsdag</t>
        </is>
      </c>
      <c r="V49" s="2" t="inlineStr">
        <is>
          <t>provsti.dk-data fra tidligere app-datasæt</t>
        </is>
      </c>
    </row>
    <row r="50">
      <c r="A50" s="2" t="inlineStr">
        <is>
          <t>Ribe Stift</t>
        </is>
      </c>
      <c r="B50" s="2" t="inlineStr">
        <is>
          <t>Skjern Provsti</t>
        </is>
      </c>
      <c r="C50" s="3" t="n">
        <v>33494</v>
      </c>
      <c r="D50" s="3" t="n">
        <v>26731</v>
      </c>
      <c r="E50" s="3" t="n">
        <v>6763</v>
      </c>
      <c r="F50" s="4" t="n">
        <v>0.7980832387890369</v>
      </c>
      <c r="G50" s="3" t="n">
        <v>30085</v>
      </c>
      <c r="H50" s="3" t="n">
        <v>-3409</v>
      </c>
      <c r="I50" s="4" t="n"/>
      <c r="J50" s="5" t="n">
        <v>90210.04528903548</v>
      </c>
      <c r="K50" s="5" t="n">
        <v>902.1004528903549</v>
      </c>
      <c r="L50" s="3" t="n">
        <v>22</v>
      </c>
      <c r="M50" s="3" t="n">
        <v>13</v>
      </c>
      <c r="N50" s="3" t="n">
        <v>28</v>
      </c>
      <c r="O50" s="3" t="n">
        <v>32</v>
      </c>
      <c r="P50" s="3" t="n">
        <v>15</v>
      </c>
      <c r="Q50" s="3" t="n">
        <v>15</v>
      </c>
      <c r="R50" s="3" t="n">
        <v>25</v>
      </c>
      <c r="S50" s="3" t="n">
        <v>3</v>
      </c>
      <c r="T50" s="3" t="n">
        <v>28</v>
      </c>
      <c r="U50" s="2" t="inlineStr">
        <is>
          <t>Tabel vedr. stifter og provstier slut torsdag</t>
        </is>
      </c>
      <c r="V50" s="2" t="inlineStr">
        <is>
          <t>provsti.dk-data fra tidligere app-datasæt</t>
        </is>
      </c>
    </row>
    <row r="51">
      <c r="A51" s="2" t="inlineStr">
        <is>
          <t>Ribe Stift</t>
        </is>
      </c>
      <c r="B51" s="2" t="inlineStr">
        <is>
          <t>Tønder Provsti</t>
        </is>
      </c>
      <c r="C51" s="3" t="n">
        <v>36209</v>
      </c>
      <c r="D51" s="3" t="n">
        <v>27884</v>
      </c>
      <c r="E51" s="3" t="n">
        <v>8325</v>
      </c>
      <c r="F51" s="4" t="n">
        <v>0.7700847855505537</v>
      </c>
      <c r="G51" s="3" t="n">
        <v>33738</v>
      </c>
      <c r="H51" s="3" t="n">
        <v>-2471</v>
      </c>
      <c r="I51" s="4" t="n"/>
      <c r="J51" s="5" t="n">
        <v>61866.46978273064</v>
      </c>
      <c r="K51" s="5" t="n">
        <v>618.6646978273064</v>
      </c>
      <c r="L51" s="3" t="n">
        <v>26</v>
      </c>
      <c r="M51" s="3" t="n">
        <v>14</v>
      </c>
      <c r="N51" s="3" t="n">
        <v>30</v>
      </c>
      <c r="O51" s="3" t="n">
        <v>32</v>
      </c>
      <c r="P51" s="3" t="n">
        <v>18</v>
      </c>
      <c r="Q51" s="3" t="n">
        <v>18</v>
      </c>
      <c r="R51" s="3" t="n">
        <v>22</v>
      </c>
      <c r="S51" s="3" t="n">
        <v>0</v>
      </c>
      <c r="T51" s="3" t="n">
        <v>22</v>
      </c>
      <c r="U51" s="2" t="inlineStr">
        <is>
          <t>Tabel vedr. stifter og provstier slut torsdag</t>
        </is>
      </c>
      <c r="V51" s="2" t="inlineStr">
        <is>
          <t>provsti.dk-data fra tidligere app-datasæt</t>
        </is>
      </c>
    </row>
    <row r="52">
      <c r="A52" s="2" t="inlineStr">
        <is>
          <t>Ribe Stift</t>
        </is>
      </c>
      <c r="B52" s="2" t="inlineStr">
        <is>
          <t>Varde Provsti</t>
        </is>
      </c>
      <c r="C52" s="3" t="n">
        <v>49123</v>
      </c>
      <c r="D52" s="3" t="n">
        <v>40165</v>
      </c>
      <c r="E52" s="3" t="n">
        <v>8958</v>
      </c>
      <c r="F52" s="4" t="n">
        <v>0.8176414306943794</v>
      </c>
      <c r="G52" s="3" t="n">
        <v>47146</v>
      </c>
      <c r="H52" s="3" t="n">
        <v>-1977</v>
      </c>
      <c r="I52" s="4" t="n"/>
      <c r="J52" s="5" t="n">
        <v>71551.38231542647</v>
      </c>
      <c r="K52" s="5" t="n">
        <v>715.5138231542647</v>
      </c>
      <c r="L52" s="3" t="n">
        <v>25</v>
      </c>
      <c r="M52" s="3" t="n">
        <v>15</v>
      </c>
      <c r="N52" s="3" t="n">
        <v>28</v>
      </c>
      <c r="O52" s="3" t="n">
        <v>34</v>
      </c>
      <c r="P52" s="3" t="n">
        <v>21</v>
      </c>
      <c r="Q52" s="3" t="n">
        <v>21</v>
      </c>
      <c r="R52" s="3" t="n">
        <v>23</v>
      </c>
      <c r="S52" s="3" t="n">
        <v>2</v>
      </c>
      <c r="T52" s="3" t="n">
        <v>25</v>
      </c>
      <c r="U52" s="2" t="inlineStr">
        <is>
          <t>Tabel vedr. stifter og provstier slut torsdag</t>
        </is>
      </c>
      <c r="V52" s="2" t="inlineStr">
        <is>
          <t>provsti.dk-data fra tidligere app-datasæt</t>
        </is>
      </c>
    </row>
    <row r="53">
      <c r="A53" s="2" t="inlineStr">
        <is>
          <t>Roskilde Stift</t>
        </is>
      </c>
      <c r="B53" s="2" t="inlineStr">
        <is>
          <t>Greve-Solrød Provsti</t>
        </is>
      </c>
      <c r="C53" s="3" t="n">
        <v>79287</v>
      </c>
      <c r="D53" s="3" t="n">
        <v>53995</v>
      </c>
      <c r="E53" s="3" t="n">
        <v>25292</v>
      </c>
      <c r="F53" s="4" t="n">
        <v>0.6810069746616721</v>
      </c>
      <c r="G53" s="3" t="n">
        <v>84722</v>
      </c>
      <c r="H53" s="3" t="n">
        <v>5435</v>
      </c>
      <c r="I53" s="4" t="n"/>
      <c r="J53" s="5" t="n">
        <v>92943.02160767558</v>
      </c>
      <c r="K53" s="5" t="n">
        <v>929.4302160767559</v>
      </c>
      <c r="L53" s="3" t="n">
        <v>10</v>
      </c>
      <c r="M53" s="3" t="n">
        <v>9</v>
      </c>
      <c r="N53" s="3" t="n">
        <v>11</v>
      </c>
      <c r="O53" s="3" t="n">
        <v>17</v>
      </c>
      <c r="P53" s="3" t="n">
        <v>25</v>
      </c>
      <c r="Q53" s="3" t="n">
        <v>25</v>
      </c>
      <c r="R53" s="3" t="n">
        <v>22</v>
      </c>
      <c r="S53" s="3" t="n">
        <v>11</v>
      </c>
      <c r="T53" s="3" t="n">
        <v>33</v>
      </c>
      <c r="U53" s="2" t="inlineStr">
        <is>
          <t>Tabel vedr. stifter og provstier slut torsdag</t>
        </is>
      </c>
      <c r="V53" s="2" t="inlineStr">
        <is>
          <t>provsti.dk-data fra tidligere app-datasæt</t>
        </is>
      </c>
    </row>
    <row r="54">
      <c r="A54" s="2" t="inlineStr">
        <is>
          <t>Roskilde Stift</t>
        </is>
      </c>
      <c r="B54" s="2" t="inlineStr">
        <is>
          <t>Holbæk Provsti</t>
        </is>
      </c>
      <c r="C54" s="3" t="n">
        <v>75129</v>
      </c>
      <c r="D54" s="3" t="n">
        <v>55936</v>
      </c>
      <c r="E54" s="3" t="n">
        <v>19193</v>
      </c>
      <c r="F54" s="4" t="n">
        <v>0.7445327370256493</v>
      </c>
      <c r="G54" s="3" t="n">
        <v>78134</v>
      </c>
      <c r="H54" s="3" t="n">
        <v>3005</v>
      </c>
      <c r="I54" s="4" t="n"/>
      <c r="J54" s="5" t="n">
        <v>104452.7251750668</v>
      </c>
      <c r="K54" s="5" t="n">
        <v>1044.527251750668</v>
      </c>
      <c r="L54" s="3" t="n">
        <v>21</v>
      </c>
      <c r="M54" s="3" t="n">
        <v>18</v>
      </c>
      <c r="N54" s="3" t="n">
        <v>24</v>
      </c>
      <c r="O54" s="3" t="n">
        <v>37</v>
      </c>
      <c r="P54" s="3" t="n">
        <v>31</v>
      </c>
      <c r="Q54" s="3" t="n">
        <v>31</v>
      </c>
      <c r="R54" s="3" t="n">
        <v>27</v>
      </c>
      <c r="S54" s="3" t="n">
        <v>11</v>
      </c>
      <c r="T54" s="3" t="n">
        <v>38</v>
      </c>
      <c r="U54" s="2" t="inlineStr">
        <is>
          <t>Tabel vedr. stifter og provstier slut torsdag</t>
        </is>
      </c>
      <c r="V54" s="2" t="inlineStr">
        <is>
          <t>provsti.dk-data fra tidligere app-datasæt</t>
        </is>
      </c>
    </row>
    <row r="55">
      <c r="A55" s="2" t="inlineStr">
        <is>
          <t>Roskilde Stift</t>
        </is>
      </c>
      <c r="B55" s="2" t="inlineStr">
        <is>
          <t>Kalundborg Provsti</t>
        </is>
      </c>
      <c r="C55" s="3" t="n">
        <v>47842</v>
      </c>
      <c r="D55" s="3" t="n">
        <v>37125</v>
      </c>
      <c r="E55" s="3" t="n">
        <v>10717</v>
      </c>
      <c r="F55" s="4" t="n">
        <v>0.7759918063626102</v>
      </c>
      <c r="G55" s="3" t="n">
        <v>45336</v>
      </c>
      <c r="H55" s="3" t="n">
        <v>-2506</v>
      </c>
      <c r="I55" s="4" t="n"/>
      <c r="J55" s="5" t="n">
        <v>75082.73765439382</v>
      </c>
      <c r="K55" s="5" t="n">
        <v>750.8273765439382</v>
      </c>
      <c r="L55" s="3" t="n">
        <v>22</v>
      </c>
      <c r="M55" s="3" t="n">
        <v>14</v>
      </c>
      <c r="N55" s="3" t="n">
        <v>29</v>
      </c>
      <c r="O55" s="3" t="n">
        <v>39</v>
      </c>
      <c r="P55" s="3" t="n">
        <v>21</v>
      </c>
      <c r="Q55" s="3" t="n">
        <v>21</v>
      </c>
      <c r="R55" s="3" t="n">
        <v>25</v>
      </c>
      <c r="S55" s="3" t="n">
        <v>4</v>
      </c>
      <c r="T55" s="3" t="n">
        <v>29</v>
      </c>
      <c r="U55" s="2" t="inlineStr">
        <is>
          <t>Tabel vedr. stifter og provstier slut torsdag</t>
        </is>
      </c>
      <c r="V55" s="2" t="inlineStr">
        <is>
          <t>provsti.dk-data fra tidligere app-datasæt</t>
        </is>
      </c>
    </row>
    <row r="56">
      <c r="A56" s="2" t="inlineStr">
        <is>
          <t>Roskilde Stift</t>
        </is>
      </c>
      <c r="B56" s="2" t="inlineStr">
        <is>
          <t>Køge Provsti</t>
        </is>
      </c>
      <c r="C56" s="3" t="n">
        <v>64048</v>
      </c>
      <c r="D56" s="3" t="n">
        <v>45332</v>
      </c>
      <c r="E56" s="3" t="n">
        <v>18716</v>
      </c>
      <c r="F56" s="4" t="n">
        <v>0.7077816637521859</v>
      </c>
      <c r="G56" s="3" t="n">
        <v>66035</v>
      </c>
      <c r="H56" s="3" t="n">
        <v>1987</v>
      </c>
      <c r="I56" s="4" t="n"/>
      <c r="J56" s="5" t="n">
        <v>79246.17589303269</v>
      </c>
      <c r="K56" s="5" t="n">
        <v>792.4617589303269</v>
      </c>
      <c r="L56" s="3" t="n">
        <v>12</v>
      </c>
      <c r="M56" s="3" t="n">
        <v>8</v>
      </c>
      <c r="N56" s="3" t="n">
        <v>15</v>
      </c>
      <c r="O56" s="3" t="n">
        <v>19</v>
      </c>
      <c r="P56" s="3" t="n">
        <v>21</v>
      </c>
      <c r="Q56" s="3" t="n">
        <v>21</v>
      </c>
      <c r="R56" s="3" t="n">
        <v>17</v>
      </c>
      <c r="S56" s="3" t="n">
        <v>11</v>
      </c>
      <c r="T56" s="3" t="n">
        <v>28</v>
      </c>
      <c r="U56" s="2" t="inlineStr">
        <is>
          <t>Tabel vedr. stifter og provstier slut torsdag</t>
        </is>
      </c>
      <c r="V56" s="2" t="inlineStr">
        <is>
          <t>provsti.dk-data fra tidligere app-datasæt</t>
        </is>
      </c>
    </row>
    <row r="57">
      <c r="A57" s="2" t="inlineStr">
        <is>
          <t>Roskilde Stift</t>
        </is>
      </c>
      <c r="B57" s="2" t="inlineStr">
        <is>
          <t>Lejre Provsti</t>
        </is>
      </c>
      <c r="C57" s="3" t="n">
        <v>29938</v>
      </c>
      <c r="D57" s="3" t="n">
        <v>21267</v>
      </c>
      <c r="E57" s="3" t="n">
        <v>8671</v>
      </c>
      <c r="F57" s="4" t="n">
        <v>0.7103680940610595</v>
      </c>
      <c r="G57" s="3" t="n">
        <v>31793</v>
      </c>
      <c r="H57" s="3" t="n">
        <v>1855</v>
      </c>
      <c r="I57" s="4" t="n"/>
      <c r="J57" s="5" t="n">
        <v>46805.56278502608</v>
      </c>
      <c r="K57" s="5" t="n">
        <v>468.0556278502608</v>
      </c>
      <c r="L57" s="3" t="n">
        <v>11</v>
      </c>
      <c r="M57" s="3" t="n">
        <v>8</v>
      </c>
      <c r="N57" s="3" t="n">
        <v>17</v>
      </c>
      <c r="O57" s="3" t="n">
        <v>18</v>
      </c>
      <c r="P57" s="3" t="n">
        <v>11</v>
      </c>
      <c r="Q57" s="3" t="n">
        <v>11</v>
      </c>
      <c r="R57" s="3" t="n">
        <v>9</v>
      </c>
      <c r="S57" s="3" t="n">
        <v>4</v>
      </c>
      <c r="T57" s="3" t="n">
        <v>13</v>
      </c>
      <c r="U57" s="2" t="inlineStr">
        <is>
          <t>Tabel vedr. stifter og provstier slut torsdag</t>
        </is>
      </c>
      <c r="V57" s="2" t="inlineStr">
        <is>
          <t>provsti.dk-data fra tidligere app-datasæt</t>
        </is>
      </c>
    </row>
    <row r="58">
      <c r="A58" s="2" t="inlineStr">
        <is>
          <t>Roskilde Stift</t>
        </is>
      </c>
      <c r="B58" s="2" t="inlineStr">
        <is>
          <t>Næstved Provsti</t>
        </is>
      </c>
      <c r="C58" s="3" t="n">
        <v>85178</v>
      </c>
      <c r="D58" s="3" t="n">
        <v>65962</v>
      </c>
      <c r="E58" s="3" t="n">
        <v>19216</v>
      </c>
      <c r="F58" s="4" t="n">
        <v>0.7744018408509239</v>
      </c>
      <c r="G58" s="3" t="n">
        <v>86146</v>
      </c>
      <c r="H58" s="3" t="n">
        <v>968</v>
      </c>
      <c r="I58" s="4" t="n"/>
      <c r="J58" s="5" t="n">
        <v>120829.6529415628</v>
      </c>
      <c r="K58" s="5" t="n">
        <v>1208.296529415628</v>
      </c>
      <c r="L58" s="3" t="n">
        <v>24</v>
      </c>
      <c r="M58" s="3" t="n">
        <v>19</v>
      </c>
      <c r="N58" s="3" t="n">
        <v>38</v>
      </c>
      <c r="O58" s="3" t="n">
        <v>47</v>
      </c>
      <c r="P58" s="3" t="n">
        <v>31</v>
      </c>
      <c r="Q58" s="3" t="n">
        <v>31</v>
      </c>
      <c r="R58" s="3" t="n">
        <v>38</v>
      </c>
      <c r="S58" s="3" t="n">
        <v>6</v>
      </c>
      <c r="T58" s="3" t="n">
        <v>44</v>
      </c>
      <c r="U58" s="2" t="inlineStr">
        <is>
          <t>Tabel vedr. stifter og provstier slut torsdag</t>
        </is>
      </c>
      <c r="V58" s="2" t="inlineStr">
        <is>
          <t>provsti.dk-data fra tidligere app-datasæt</t>
        </is>
      </c>
    </row>
    <row r="59">
      <c r="A59" s="2" t="inlineStr">
        <is>
          <t>Roskilde Stift</t>
        </is>
      </c>
      <c r="B59" s="2" t="inlineStr">
        <is>
          <t>Odsherred Provsti</t>
        </is>
      </c>
      <c r="C59" s="3" t="n">
        <v>31934</v>
      </c>
      <c r="D59" s="3" t="n">
        <v>25048</v>
      </c>
      <c r="E59" s="3" t="n">
        <v>6886</v>
      </c>
      <c r="F59" s="4" t="n">
        <v>0.7843677585019102</v>
      </c>
      <c r="G59" s="3" t="n">
        <v>29452</v>
      </c>
      <c r="H59" s="3" t="n">
        <v>-2482</v>
      </c>
      <c r="I59" s="4" t="n"/>
      <c r="J59" s="5" t="n">
        <v>46244.92802511014</v>
      </c>
      <c r="K59" s="5" t="n">
        <v>462.4492802511014</v>
      </c>
      <c r="L59" s="3" t="n">
        <v>12</v>
      </c>
      <c r="M59" s="3" t="n">
        <v>9</v>
      </c>
      <c r="N59" s="3" t="n">
        <v>13</v>
      </c>
      <c r="O59" s="3" t="n">
        <v>19</v>
      </c>
      <c r="P59" s="3" t="n">
        <v>12</v>
      </c>
      <c r="Q59" s="3" t="n">
        <v>12</v>
      </c>
      <c r="R59" s="3" t="n">
        <v>13</v>
      </c>
      <c r="S59" s="3" t="n">
        <v>3</v>
      </c>
      <c r="T59" s="3" t="n">
        <v>16</v>
      </c>
      <c r="U59" s="2" t="inlineStr">
        <is>
          <t>Tabel vedr. stifter og provstier slut torsdag</t>
        </is>
      </c>
      <c r="V59" s="2" t="inlineStr">
        <is>
          <t>provsti.dk-data fra tidligere app-datasæt</t>
        </is>
      </c>
    </row>
    <row r="60">
      <c r="A60" s="2" t="inlineStr">
        <is>
          <t>Roskilde Stift</t>
        </is>
      </c>
      <c r="B60" s="2" t="inlineStr">
        <is>
          <t>Ringsted-Sorø Provsti</t>
        </is>
      </c>
      <c r="C60" s="3" t="n">
        <v>66955</v>
      </c>
      <c r="D60" s="3" t="n">
        <v>48894</v>
      </c>
      <c r="E60" s="3" t="n">
        <v>18061</v>
      </c>
      <c r="F60" s="4" t="n">
        <v>0.7302516615637369</v>
      </c>
      <c r="G60" s="3" t="n">
        <v>69005</v>
      </c>
      <c r="H60" s="3" t="n">
        <v>2050</v>
      </c>
      <c r="I60" s="4" t="n"/>
      <c r="J60" s="5" t="n">
        <v>91108.83303716037</v>
      </c>
      <c r="K60" s="5" t="n">
        <v>911.0883303716038</v>
      </c>
      <c r="L60" s="3" t="n">
        <v>24</v>
      </c>
      <c r="M60" s="3" t="n">
        <v>15</v>
      </c>
      <c r="N60" s="3" t="n">
        <v>31</v>
      </c>
      <c r="O60" s="3" t="n">
        <v>39</v>
      </c>
      <c r="P60" s="3" t="n">
        <v>27</v>
      </c>
      <c r="Q60" s="3" t="n">
        <v>27</v>
      </c>
      <c r="R60" s="3" t="n">
        <v>32</v>
      </c>
      <c r="S60" s="3" t="n">
        <v>9</v>
      </c>
      <c r="T60" s="3" t="n">
        <v>41</v>
      </c>
      <c r="U60" s="2" t="inlineStr">
        <is>
          <t>Tabel vedr. stifter og provstier slut torsdag</t>
        </is>
      </c>
      <c r="V60" s="2" t="inlineStr">
        <is>
          <t>provsti.dk-data fra tidligere app-datasæt</t>
        </is>
      </c>
    </row>
    <row r="61">
      <c r="A61" s="2" t="inlineStr">
        <is>
          <t>Roskilde Stift</t>
        </is>
      </c>
      <c r="B61" s="2" t="inlineStr">
        <is>
          <t>Roskilde Domprovsti</t>
        </is>
      </c>
      <c r="C61" s="3" t="n">
        <v>93065</v>
      </c>
      <c r="D61" s="3" t="n">
        <v>65635</v>
      </c>
      <c r="E61" s="3" t="n">
        <v>27430</v>
      </c>
      <c r="F61" s="4" t="n">
        <v>0.7052597646805996</v>
      </c>
      <c r="G61" s="3" t="n">
        <v>96124</v>
      </c>
      <c r="H61" s="3" t="n">
        <v>3059</v>
      </c>
      <c r="I61" s="4" t="n"/>
      <c r="J61" s="5" t="n">
        <v>119774.1885720844</v>
      </c>
      <c r="K61" s="5" t="n">
        <v>1197.741885720844</v>
      </c>
      <c r="L61" s="3" t="n">
        <v>12</v>
      </c>
      <c r="M61" s="3" t="n">
        <v>11</v>
      </c>
      <c r="N61" s="3" t="n">
        <v>17</v>
      </c>
      <c r="O61" s="3" t="n">
        <v>26</v>
      </c>
      <c r="P61" s="3" t="n">
        <v>32</v>
      </c>
      <c r="Q61" s="3" t="n">
        <v>32</v>
      </c>
      <c r="R61" s="3" t="n">
        <v>21</v>
      </c>
      <c r="S61" s="3" t="n">
        <v>13</v>
      </c>
      <c r="T61" s="3" t="n">
        <v>34</v>
      </c>
      <c r="U61" s="2" t="inlineStr">
        <is>
          <t>Tabel vedr. stifter og provstier slut torsdag</t>
        </is>
      </c>
      <c r="V61" s="2" t="inlineStr">
        <is>
          <t>provsti.dk-data fra tidligere app-datasæt</t>
        </is>
      </c>
    </row>
    <row r="62">
      <c r="A62" s="2" t="inlineStr">
        <is>
          <t>Roskilde Stift</t>
        </is>
      </c>
      <c r="B62" s="2" t="inlineStr">
        <is>
          <t>Slagelse Provsti</t>
        </is>
      </c>
      <c r="C62" s="3" t="n">
        <v>80833</v>
      </c>
      <c r="D62" s="3" t="n">
        <v>60360</v>
      </c>
      <c r="E62" s="3" t="n">
        <v>20473</v>
      </c>
      <c r="F62" s="4" t="n">
        <v>0.7467247287617681</v>
      </c>
      <c r="G62" s="3" t="n">
        <v>81472</v>
      </c>
      <c r="H62" s="3" t="n">
        <v>639</v>
      </c>
      <c r="I62" s="4" t="n"/>
      <c r="J62" s="5" t="n">
        <v>107107.0540682421</v>
      </c>
      <c r="K62" s="5" t="n">
        <v>1071.070540682421</v>
      </c>
      <c r="L62" s="3" t="n">
        <v>24</v>
      </c>
      <c r="M62" s="3" t="n">
        <v>20</v>
      </c>
      <c r="N62" s="3" t="n">
        <v>41</v>
      </c>
      <c r="O62" s="3" t="n">
        <v>48</v>
      </c>
      <c r="P62" s="3" t="n">
        <v>31</v>
      </c>
      <c r="Q62" s="3" t="n">
        <v>31</v>
      </c>
      <c r="R62" s="3" t="n">
        <v>35</v>
      </c>
      <c r="S62" s="3" t="n">
        <v>8</v>
      </c>
      <c r="T62" s="3" t="n">
        <v>43</v>
      </c>
      <c r="U62" s="2" t="inlineStr">
        <is>
          <t>Tabel vedr. stifter og provstier slut torsdag</t>
        </is>
      </c>
      <c r="V62" s="2" t="inlineStr">
        <is>
          <t>provsti.dk-data fra tidligere app-datasæt</t>
        </is>
      </c>
    </row>
    <row r="63">
      <c r="A63" s="2" t="inlineStr">
        <is>
          <t>Roskilde Stift</t>
        </is>
      </c>
      <c r="B63" s="2" t="inlineStr">
        <is>
          <t>Stege-Vordingborg Provsti</t>
        </is>
      </c>
      <c r="C63" s="3" t="n">
        <v>44815</v>
      </c>
      <c r="D63" s="3" t="n">
        <v>34096</v>
      </c>
      <c r="E63" s="3" t="n">
        <v>10719</v>
      </c>
      <c r="F63" s="4" t="n">
        <v>0.7608166908401205</v>
      </c>
      <c r="G63" s="3" t="n">
        <v>43144</v>
      </c>
      <c r="H63" s="3" t="n">
        <v>-1671</v>
      </c>
      <c r="I63" s="4" t="n"/>
      <c r="J63" s="5" t="n">
        <v>65378.08348281285</v>
      </c>
      <c r="K63" s="5" t="n">
        <v>653.7808348281286</v>
      </c>
      <c r="L63" s="3" t="n">
        <v>17</v>
      </c>
      <c r="M63" s="3" t="n">
        <v>11</v>
      </c>
      <c r="N63" s="3" t="n">
        <v>27</v>
      </c>
      <c r="O63" s="3" t="n">
        <v>30</v>
      </c>
      <c r="P63" s="3" t="n">
        <v>17</v>
      </c>
      <c r="Q63" s="3" t="n">
        <v>17</v>
      </c>
      <c r="R63" s="3" t="n">
        <v>19</v>
      </c>
      <c r="S63" s="3" t="n">
        <v>1</v>
      </c>
      <c r="T63" s="3" t="n">
        <v>20</v>
      </c>
      <c r="U63" s="2" t="inlineStr">
        <is>
          <t>Tabel vedr. stifter og provstier slut torsdag</t>
        </is>
      </c>
      <c r="V63" s="2" t="inlineStr">
        <is>
          <t>provsti.dk-data fra tidligere app-datasæt</t>
        </is>
      </c>
    </row>
    <row r="64">
      <c r="A64" s="2" t="inlineStr">
        <is>
          <t>Roskilde Stift</t>
        </is>
      </c>
      <c r="B64" s="2" t="inlineStr">
        <is>
          <t>Tryggevælde Provsti</t>
        </is>
      </c>
      <c r="C64" s="3" t="n">
        <v>62039</v>
      </c>
      <c r="D64" s="3" t="n">
        <v>47101</v>
      </c>
      <c r="E64" s="3" t="n">
        <v>14938</v>
      </c>
      <c r="F64" s="4" t="n">
        <v>0.7592159770466964</v>
      </c>
      <c r="G64" s="3" t="n">
        <v>62848</v>
      </c>
      <c r="H64" s="3" t="n">
        <v>809</v>
      </c>
      <c r="I64" s="4" t="n"/>
      <c r="J64" s="5" t="n">
        <v>98695.00511218687</v>
      </c>
      <c r="K64" s="5" t="n">
        <v>986.9500511218688</v>
      </c>
      <c r="L64" s="3" t="n">
        <v>25</v>
      </c>
      <c r="M64" s="3" t="n">
        <v>15</v>
      </c>
      <c r="N64" s="3" t="n">
        <v>37</v>
      </c>
      <c r="O64" s="3" t="n">
        <v>40</v>
      </c>
      <c r="P64" s="3" t="n">
        <v>21</v>
      </c>
      <c r="Q64" s="3" t="n">
        <v>21</v>
      </c>
      <c r="R64" s="3" t="n">
        <v>28</v>
      </c>
      <c r="S64" s="3" t="n">
        <v>1</v>
      </c>
      <c r="T64" s="3" t="n">
        <v>29</v>
      </c>
      <c r="U64" s="2" t="inlineStr">
        <is>
          <t>Tabel vedr. stifter og provstier slut torsdag</t>
        </is>
      </c>
      <c r="V64" s="2" t="inlineStr">
        <is>
          <t>provsti.dk-data fra tidligere app-datasæt</t>
        </is>
      </c>
    </row>
    <row r="65">
      <c r="A65" s="2" t="inlineStr">
        <is>
          <t>Viborg Stift</t>
        </is>
      </c>
      <c r="B65" s="2" t="inlineStr">
        <is>
          <t>Herning Nordre Provsti</t>
        </is>
      </c>
      <c r="C65" s="3" t="n">
        <v>37816</v>
      </c>
      <c r="D65" s="3" t="n">
        <v>31342</v>
      </c>
      <c r="E65" s="3" t="n">
        <v>6474</v>
      </c>
      <c r="F65" s="4" t="n">
        <v>0.8288026232282631</v>
      </c>
      <c r="G65" s="3" t="n">
        <v>36173</v>
      </c>
      <c r="H65" s="3" t="n">
        <v>-1643</v>
      </c>
      <c r="I65" s="4" t="n"/>
      <c r="J65" s="5" t="n">
        <v>128757.9437897055</v>
      </c>
      <c r="K65" s="5" t="n">
        <v>1287.579437897055</v>
      </c>
      <c r="L65" s="3" t="n">
        <v>19</v>
      </c>
      <c r="M65" s="3" t="n">
        <v>8</v>
      </c>
      <c r="N65" s="3" t="n">
        <v>19</v>
      </c>
      <c r="O65" s="3" t="n">
        <v>25</v>
      </c>
      <c r="P65" s="3" t="n">
        <v>18</v>
      </c>
      <c r="Q65" s="3" t="n">
        <v>18</v>
      </c>
      <c r="R65" s="3" t="n">
        <v>13</v>
      </c>
      <c r="S65" s="3" t="n">
        <v>3</v>
      </c>
      <c r="T65" s="3" t="n">
        <v>16</v>
      </c>
      <c r="U65" s="2" t="inlineStr">
        <is>
          <t>Tabel vedr. stifter og provstier slut torsdag</t>
        </is>
      </c>
      <c r="V65" s="2" t="inlineStr">
        <is>
          <t>provsti.dk-data fra tidligere app-datasæt</t>
        </is>
      </c>
    </row>
    <row r="66">
      <c r="A66" s="2" t="inlineStr">
        <is>
          <t>Viborg Stift</t>
        </is>
      </c>
      <c r="B66" s="2" t="inlineStr">
        <is>
          <t>Herning Søndre Provsti</t>
        </is>
      </c>
      <c r="C66" s="3" t="n">
        <v>53039</v>
      </c>
      <c r="D66" s="3" t="n">
        <v>39806</v>
      </c>
      <c r="E66" s="3" t="n">
        <v>13233</v>
      </c>
      <c r="F66" s="4" t="n">
        <v>0.7505043458587077</v>
      </c>
      <c r="G66" s="3" t="n"/>
      <c r="H66" s="3" t="n"/>
      <c r="I66" s="4" t="n"/>
      <c r="J66" s="5" t="n"/>
      <c r="K66" s="5" t="n">
        <v>0</v>
      </c>
      <c r="L66" s="3" t="n">
        <v>15</v>
      </c>
      <c r="M66" s="3" t="n">
        <v>11</v>
      </c>
      <c r="N66" s="3" t="n">
        <v>16</v>
      </c>
      <c r="O66" s="3" t="n">
        <v>21</v>
      </c>
      <c r="P66" s="3" t="n">
        <v>20</v>
      </c>
      <c r="Q66" s="3" t="n">
        <v>20</v>
      </c>
      <c r="R66" s="3" t="n">
        <v>19</v>
      </c>
      <c r="S66" s="3" t="n">
        <v>2</v>
      </c>
      <c r="T66" s="3" t="n">
        <v>21</v>
      </c>
      <c r="U66" s="2" t="inlineStr">
        <is>
          <t>Tabel vedr. stifter og provstier slut torsdag</t>
        </is>
      </c>
      <c r="V66" s="2" t="inlineStr">
        <is>
          <t>provsti.dk-data fra tidligere app-datasæt</t>
        </is>
      </c>
    </row>
    <row r="67">
      <c r="A67" s="2" t="inlineStr">
        <is>
          <t>Viborg Stift</t>
        </is>
      </c>
      <c r="B67" s="2" t="inlineStr">
        <is>
          <t>Holstebro Provsti</t>
        </is>
      </c>
      <c r="C67" s="3" t="n">
        <v>53383</v>
      </c>
      <c r="D67" s="3" t="n">
        <v>43624</v>
      </c>
      <c r="E67" s="3" t="n">
        <v>9759</v>
      </c>
      <c r="F67" s="4" t="n">
        <v>0.8171889927505011</v>
      </c>
      <c r="G67" s="3" t="n">
        <v>51942</v>
      </c>
      <c r="H67" s="3" t="n">
        <v>-1441</v>
      </c>
      <c r="I67" s="4" t="n"/>
      <c r="J67" s="5" t="n">
        <v>94725.52402876192</v>
      </c>
      <c r="K67" s="5" t="n">
        <v>947.2552402876192</v>
      </c>
      <c r="L67" s="3" t="n">
        <v>18</v>
      </c>
      <c r="M67" s="3" t="n">
        <v>12</v>
      </c>
      <c r="N67" s="3" t="n">
        <v>21</v>
      </c>
      <c r="O67" s="3" t="n">
        <v>26</v>
      </c>
      <c r="P67" s="3" t="n">
        <v>22</v>
      </c>
      <c r="Q67" s="3" t="n">
        <v>22</v>
      </c>
      <c r="R67" s="3" t="n">
        <v>18</v>
      </c>
      <c r="S67" s="3" t="n">
        <v>3</v>
      </c>
      <c r="T67" s="3" t="n">
        <v>21</v>
      </c>
      <c r="U67" s="2" t="inlineStr">
        <is>
          <t>Tabel vedr. stifter og provstier slut torsdag</t>
        </is>
      </c>
      <c r="V67" s="2" t="inlineStr">
        <is>
          <t>provsti.dk-data fra tidligere app-datasæt</t>
        </is>
      </c>
    </row>
    <row r="68">
      <c r="A68" s="2" t="inlineStr">
        <is>
          <t>Viborg Stift</t>
        </is>
      </c>
      <c r="B68" s="2" t="inlineStr">
        <is>
          <t>Ikast-Brande Provsti</t>
        </is>
      </c>
      <c r="C68" s="3" t="n">
        <v>56523</v>
      </c>
      <c r="D68" s="3" t="n">
        <v>43747</v>
      </c>
      <c r="E68" s="3" t="n">
        <v>12776</v>
      </c>
      <c r="F68" s="4" t="n">
        <v>0.7739681191727261</v>
      </c>
      <c r="G68" s="3" t="n">
        <v>57915</v>
      </c>
      <c r="H68" s="3" t="n">
        <v>1392</v>
      </c>
      <c r="I68" s="4" t="n"/>
      <c r="J68" s="5" t="n">
        <v>56768.68112119452</v>
      </c>
      <c r="K68" s="5" t="n">
        <v>567.6868112119453</v>
      </c>
      <c r="L68" s="3" t="n">
        <v>21</v>
      </c>
      <c r="M68" s="3" t="n">
        <v>14</v>
      </c>
      <c r="N68" s="3" t="n">
        <v>24</v>
      </c>
      <c r="O68" s="3" t="n">
        <v>28</v>
      </c>
      <c r="P68" s="3" t="n">
        <v>21</v>
      </c>
      <c r="Q68" s="3" t="n">
        <v>21</v>
      </c>
      <c r="R68" s="3" t="n">
        <v>22</v>
      </c>
      <c r="S68" s="3" t="n">
        <v>4</v>
      </c>
      <c r="T68" s="3" t="n">
        <v>26</v>
      </c>
      <c r="U68" s="2" t="inlineStr">
        <is>
          <t>Tabel vedr. stifter og provstier slut torsdag</t>
        </is>
      </c>
      <c r="V68" s="2" t="inlineStr">
        <is>
          <t>provsti.dk-data fra tidligere app-datasæt</t>
        </is>
      </c>
    </row>
    <row r="69">
      <c r="A69" s="2" t="inlineStr">
        <is>
          <t>Viborg Stift</t>
        </is>
      </c>
      <c r="B69" s="2" t="inlineStr">
        <is>
          <t>Lemvig Provsti</t>
        </is>
      </c>
      <c r="C69" s="3" t="n">
        <v>18526</v>
      </c>
      <c r="D69" s="3" t="n">
        <v>15498</v>
      </c>
      <c r="E69" s="3" t="n">
        <v>3028</v>
      </c>
      <c r="F69" s="4" t="n">
        <v>0.8365540321710029</v>
      </c>
      <c r="G69" s="3" t="n">
        <v>16349</v>
      </c>
      <c r="H69" s="3" t="n">
        <v>-2177</v>
      </c>
      <c r="I69" s="4" t="n"/>
      <c r="J69" s="5" t="n">
        <v>40154.23283904534</v>
      </c>
      <c r="K69" s="5" t="n">
        <v>401.5423283904534</v>
      </c>
      <c r="L69" s="3" t="n">
        <v>13</v>
      </c>
      <c r="M69" s="3" t="n">
        <v>7</v>
      </c>
      <c r="N69" s="3" t="n">
        <v>22</v>
      </c>
      <c r="O69" s="3" t="n">
        <v>31</v>
      </c>
      <c r="P69" s="3" t="n">
        <v>12</v>
      </c>
      <c r="Q69" s="3" t="n">
        <v>12</v>
      </c>
      <c r="R69" s="3" t="n">
        <v>11</v>
      </c>
      <c r="S69" s="3" t="n">
        <v>1</v>
      </c>
      <c r="T69" s="3" t="n">
        <v>12</v>
      </c>
      <c r="U69" s="2" t="inlineStr">
        <is>
          <t>Tabel vedr. stifter og provstier slut torsdag</t>
        </is>
      </c>
      <c r="V69" s="2" t="inlineStr">
        <is>
          <t>provsti.dk-data fra tidligere app-datasæt</t>
        </is>
      </c>
    </row>
    <row r="70">
      <c r="A70" s="2" t="inlineStr">
        <is>
          <t>Viborg Stift</t>
        </is>
      </c>
      <c r="B70" s="2" t="inlineStr">
        <is>
          <t>Salling Provsti</t>
        </is>
      </c>
      <c r="C70" s="3" t="n">
        <v>16942</v>
      </c>
      <c r="D70" s="3" t="n">
        <v>14255</v>
      </c>
      <c r="E70" s="3" t="n">
        <v>2687</v>
      </c>
      <c r="F70" s="4" t="n">
        <v>0.8414000708298902</v>
      </c>
      <c r="G70" s="3" t="n">
        <v>12856</v>
      </c>
      <c r="H70" s="3" t="n">
        <v>-4086</v>
      </c>
      <c r="I70" s="4" t="n"/>
      <c r="J70" s="5" t="n">
        <v>76925.32118104551</v>
      </c>
      <c r="K70" s="5" t="n">
        <v>769.2532118104552</v>
      </c>
      <c r="L70" s="3" t="n">
        <v>13</v>
      </c>
      <c r="M70" s="3" t="n">
        <v>5</v>
      </c>
      <c r="N70" s="3" t="n">
        <v>25</v>
      </c>
      <c r="O70" s="3" t="n">
        <v>33</v>
      </c>
      <c r="P70" s="3" t="n">
        <v>9</v>
      </c>
      <c r="Q70" s="3" t="n">
        <v>9</v>
      </c>
      <c r="R70" s="3" t="n">
        <v>14</v>
      </c>
      <c r="S70" s="3" t="n">
        <v>0</v>
      </c>
      <c r="T70" s="3" t="n">
        <v>14</v>
      </c>
      <c r="U70" s="2" t="inlineStr">
        <is>
          <t>Tabel vedr. stifter og provstier slut torsdag</t>
        </is>
      </c>
      <c r="V70" s="2" t="inlineStr">
        <is>
          <t>provsti.dk-data fra tidligere app-datasæt</t>
        </is>
      </c>
    </row>
    <row r="71">
      <c r="A71" s="2" t="inlineStr">
        <is>
          <t>Viborg Stift</t>
        </is>
      </c>
      <c r="B71" s="2" t="inlineStr">
        <is>
          <t>Skive Provsti</t>
        </is>
      </c>
      <c r="C71" s="3" t="n">
        <v>27344</v>
      </c>
      <c r="D71" s="3" t="n">
        <v>22758</v>
      </c>
      <c r="E71" s="3" t="n">
        <v>4586</v>
      </c>
      <c r="F71" s="4" t="n">
        <v>0.8322849619660621</v>
      </c>
      <c r="G71" s="3" t="n"/>
      <c r="H71" s="3" t="n"/>
      <c r="I71" s="4" t="n"/>
      <c r="J71" s="5" t="n"/>
      <c r="K71" s="5" t="n">
        <v>0</v>
      </c>
      <c r="L71" s="3" t="n">
        <v>11</v>
      </c>
      <c r="M71" s="3" t="n">
        <v>7</v>
      </c>
      <c r="N71" s="3" t="n">
        <v>13</v>
      </c>
      <c r="O71" s="3" t="n">
        <v>16</v>
      </c>
      <c r="P71" s="3" t="n">
        <v>10</v>
      </c>
      <c r="Q71" s="3" t="n">
        <v>10</v>
      </c>
      <c r="R71" s="3" t="n">
        <v>12</v>
      </c>
      <c r="S71" s="3" t="n">
        <v>2</v>
      </c>
      <c r="T71" s="3" t="n">
        <v>14</v>
      </c>
      <c r="U71" s="2" t="inlineStr">
        <is>
          <t>Tabel vedr. stifter og provstier slut torsdag</t>
        </is>
      </c>
      <c r="V71" s="2" t="inlineStr">
        <is>
          <t>provsti.dk-data fra tidligere app-datasæt</t>
        </is>
      </c>
    </row>
    <row r="72">
      <c r="A72" s="2" t="inlineStr">
        <is>
          <t>Viborg Stift</t>
        </is>
      </c>
      <c r="B72" s="2" t="inlineStr">
        <is>
          <t>Struer Provsti</t>
        </is>
      </c>
      <c r="C72" s="3" t="n">
        <v>20152</v>
      </c>
      <c r="D72" s="3" t="n">
        <v>16291</v>
      </c>
      <c r="E72" s="3" t="n">
        <v>3861</v>
      </c>
      <c r="F72" s="4" t="n">
        <v>0.8084061135371179</v>
      </c>
      <c r="G72" s="3" t="n">
        <v>18026</v>
      </c>
      <c r="H72" s="3" t="n">
        <v>-2126</v>
      </c>
      <c r="I72" s="4" t="n"/>
      <c r="J72" s="5" t="n">
        <v>37453.96652017703</v>
      </c>
      <c r="K72" s="5" t="n">
        <v>374.5396652017703</v>
      </c>
      <c r="L72" s="3" t="n">
        <v>8</v>
      </c>
      <c r="M72" s="3" t="n">
        <v>6</v>
      </c>
      <c r="N72" s="3" t="n">
        <v>13</v>
      </c>
      <c r="O72" s="3" t="n">
        <v>18</v>
      </c>
      <c r="P72" s="3" t="n">
        <v>10</v>
      </c>
      <c r="Q72" s="3" t="n">
        <v>10</v>
      </c>
      <c r="R72" s="3" t="n">
        <v>13</v>
      </c>
      <c r="S72" s="3" t="n">
        <v>0</v>
      </c>
      <c r="T72" s="3" t="n">
        <v>13</v>
      </c>
      <c r="U72" s="2" t="inlineStr">
        <is>
          <t>Tabel vedr. stifter og provstier slut torsdag</t>
        </is>
      </c>
      <c r="V72" s="2" t="inlineStr">
        <is>
          <t>provsti.dk-data fra tidligere app-datasæt</t>
        </is>
      </c>
    </row>
    <row r="73">
      <c r="A73" s="2" t="inlineStr">
        <is>
          <t>Viborg Stift</t>
        </is>
      </c>
      <c r="B73" s="2" t="inlineStr">
        <is>
          <t>Vesthimmerlands Provsti</t>
        </is>
      </c>
      <c r="C73" s="3" t="n">
        <v>35607</v>
      </c>
      <c r="D73" s="3" t="n">
        <v>29509</v>
      </c>
      <c r="E73" s="3" t="n">
        <v>6098</v>
      </c>
      <c r="F73" s="4" t="n">
        <v>0.828741539584913</v>
      </c>
      <c r="G73" s="3" t="n">
        <v>33167</v>
      </c>
      <c r="H73" s="3" t="n">
        <v>-2440</v>
      </c>
      <c r="I73" s="4" t="n"/>
      <c r="J73" s="5" t="n">
        <v>65997.5499247054</v>
      </c>
      <c r="K73" s="5" t="n">
        <v>659.975499247054</v>
      </c>
      <c r="L73" s="3" t="n">
        <v>25</v>
      </c>
      <c r="M73" s="3" t="n">
        <v>15</v>
      </c>
      <c r="N73" s="3" t="n">
        <v>38</v>
      </c>
      <c r="O73" s="3" t="n">
        <v>39</v>
      </c>
      <c r="P73" s="3" t="n">
        <v>15</v>
      </c>
      <c r="Q73" s="3" t="n">
        <v>15</v>
      </c>
      <c r="R73" s="3" t="n">
        <v>24</v>
      </c>
      <c r="S73" s="3" t="n">
        <v>1</v>
      </c>
      <c r="T73" s="3" t="n">
        <v>25</v>
      </c>
      <c r="U73" s="2" t="inlineStr">
        <is>
          <t>Tabel vedr. stifter og provstier slut torsdag</t>
        </is>
      </c>
      <c r="V73" s="2" t="inlineStr">
        <is>
          <t>provsti.dk-data fra tidligere app-datasæt</t>
        </is>
      </c>
    </row>
    <row r="74">
      <c r="A74" s="2" t="inlineStr">
        <is>
          <t>Viborg Stift</t>
        </is>
      </c>
      <c r="B74" s="2" t="inlineStr">
        <is>
          <t>Viborg Domprovsti</t>
        </is>
      </c>
      <c r="C74" s="3" t="n">
        <v>62380</v>
      </c>
      <c r="D74" s="3" t="n">
        <v>49604</v>
      </c>
      <c r="E74" s="3" t="n">
        <v>12776</v>
      </c>
      <c r="F74" s="4" t="n">
        <v>0.7951907662712407</v>
      </c>
      <c r="G74" s="3" t="n">
        <v>60528</v>
      </c>
      <c r="H74" s="3" t="n">
        <v>-1852</v>
      </c>
      <c r="I74" s="4" t="n"/>
      <c r="J74" s="5" t="n">
        <v>135013.9817555464</v>
      </c>
      <c r="K74" s="5" t="n">
        <v>1350.139817555464</v>
      </c>
      <c r="L74" s="3" t="n">
        <v>24</v>
      </c>
      <c r="M74" s="3" t="n">
        <v>13</v>
      </c>
      <c r="N74" s="3" t="n">
        <v>31</v>
      </c>
      <c r="O74" s="3" t="n">
        <v>37</v>
      </c>
      <c r="P74" s="3" t="n">
        <v>27</v>
      </c>
      <c r="Q74" s="3" t="n">
        <v>27</v>
      </c>
      <c r="R74" s="3" t="n">
        <v>25</v>
      </c>
      <c r="S74" s="3" t="n">
        <v>6</v>
      </c>
      <c r="T74" s="3" t="n">
        <v>31</v>
      </c>
      <c r="U74" s="2" t="inlineStr">
        <is>
          <t>Tabel vedr. stifter og provstier slut torsdag</t>
        </is>
      </c>
      <c r="V74" s="2" t="inlineStr">
        <is>
          <t>provsti.dk-data fra tidligere app-datasæt</t>
        </is>
      </c>
    </row>
    <row r="75">
      <c r="A75" s="2" t="inlineStr">
        <is>
          <t>Viborg Stift</t>
        </is>
      </c>
      <c r="B75" s="2" t="inlineStr">
        <is>
          <t>Viborg Østre Provsti</t>
        </is>
      </c>
      <c r="C75" s="3" t="n">
        <v>36357</v>
      </c>
      <c r="D75" s="3" t="n">
        <v>30280</v>
      </c>
      <c r="E75" s="3" t="n">
        <v>6077</v>
      </c>
      <c r="F75" s="4" t="n">
        <v>0.8328519954891768</v>
      </c>
      <c r="G75" s="3" t="n"/>
      <c r="H75" s="3" t="n"/>
      <c r="I75" s="4" t="n"/>
      <c r="J75" s="5" t="n"/>
      <c r="K75" s="5" t="n">
        <v>0</v>
      </c>
      <c r="L75" s="3" t="n">
        <v>25</v>
      </c>
      <c r="M75" s="3" t="n">
        <v>16</v>
      </c>
      <c r="N75" s="3" t="n">
        <v>37</v>
      </c>
      <c r="O75" s="3" t="n">
        <v>39</v>
      </c>
      <c r="P75" s="3" t="n">
        <v>19</v>
      </c>
      <c r="Q75" s="3" t="n">
        <v>19</v>
      </c>
      <c r="R75" s="3" t="n">
        <v>17</v>
      </c>
      <c r="S75" s="3" t="n">
        <v>4</v>
      </c>
      <c r="T75" s="3" t="n">
        <v>21</v>
      </c>
      <c r="U75" s="2" t="inlineStr">
        <is>
          <t>Tabel vedr. stifter og provstier slut torsdag</t>
        </is>
      </c>
      <c r="V75" s="2" t="inlineStr">
        <is>
          <t>provsti.dk-data fra tidligere app-datasæt</t>
        </is>
      </c>
    </row>
    <row r="76">
      <c r="A76" s="2" t="inlineStr">
        <is>
          <t>Aalborg Stift</t>
        </is>
      </c>
      <c r="B76" s="2" t="inlineStr">
        <is>
          <t>Brønderslev Provsti</t>
        </is>
      </c>
      <c r="C76" s="3" t="n">
        <v>36633</v>
      </c>
      <c r="D76" s="3" t="n">
        <v>30636</v>
      </c>
      <c r="E76" s="3" t="n">
        <v>5997</v>
      </c>
      <c r="F76" s="4" t="n">
        <v>0.8362951437228728</v>
      </c>
      <c r="G76" s="3" t="n">
        <v>36796</v>
      </c>
      <c r="H76" s="3" t="n">
        <v>163</v>
      </c>
      <c r="I76" s="4" t="n"/>
      <c r="J76" s="5" t="n">
        <v>57727.30601644608</v>
      </c>
      <c r="K76" s="5" t="n">
        <v>577.2730601644608</v>
      </c>
      <c r="L76" s="3" t="n">
        <v>11</v>
      </c>
      <c r="M76" s="3" t="n">
        <v>9</v>
      </c>
      <c r="N76" s="3" t="n">
        <v>20</v>
      </c>
      <c r="O76" s="3" t="n">
        <v>22</v>
      </c>
      <c r="P76" s="3" t="n">
        <v>13</v>
      </c>
      <c r="Q76" s="3" t="n">
        <v>13</v>
      </c>
      <c r="R76" s="3" t="n">
        <v>14</v>
      </c>
      <c r="S76" s="3" t="n">
        <v>2</v>
      </c>
      <c r="T76" s="3" t="n">
        <v>16</v>
      </c>
      <c r="U76" s="2" t="inlineStr">
        <is>
          <t>Tabel vedr. stifter og provstier slut torsdag</t>
        </is>
      </c>
      <c r="V76" s="2" t="inlineStr">
        <is>
          <t>provsti.dk-data fra tidligere app-datasæt</t>
        </is>
      </c>
    </row>
    <row r="77">
      <c r="A77" s="2" t="inlineStr">
        <is>
          <t>Aalborg Stift</t>
        </is>
      </c>
      <c r="B77" s="2" t="inlineStr">
        <is>
          <t>Frederikshavn Provsti</t>
        </is>
      </c>
      <c r="C77" s="3" t="n">
        <v>57443</v>
      </c>
      <c r="D77" s="3" t="n">
        <v>46651</v>
      </c>
      <c r="E77" s="3" t="n">
        <v>10792</v>
      </c>
      <c r="F77" s="4" t="n">
        <v>0.8121268039621886</v>
      </c>
      <c r="G77" s="3" t="n">
        <v>53096</v>
      </c>
      <c r="H77" s="3" t="n">
        <v>-4347</v>
      </c>
      <c r="I77" s="4" t="n"/>
      <c r="J77" s="5" t="n">
        <v>89509.75476870766</v>
      </c>
      <c r="K77" s="5" t="n">
        <v>895.0975476870766</v>
      </c>
      <c r="L77" s="3" t="n">
        <v>13</v>
      </c>
      <c r="M77" s="3" t="n">
        <v>13</v>
      </c>
      <c r="N77" s="3" t="n">
        <v>22</v>
      </c>
      <c r="O77" s="3" t="n">
        <v>32</v>
      </c>
      <c r="P77" s="3" t="n">
        <v>21</v>
      </c>
      <c r="Q77" s="3" t="n">
        <v>21</v>
      </c>
      <c r="R77" s="3" t="n">
        <v>25</v>
      </c>
      <c r="S77" s="3" t="n">
        <v>1</v>
      </c>
      <c r="T77" s="3" t="n">
        <v>26</v>
      </c>
      <c r="U77" s="2" t="inlineStr">
        <is>
          <t>Tabel vedr. stifter og provstier slut torsdag</t>
        </is>
      </c>
      <c r="V77" s="2" t="inlineStr">
        <is>
          <t>provsti.dk-data fra tidligere app-datasæt</t>
        </is>
      </c>
    </row>
    <row r="78">
      <c r="A78" s="2" t="inlineStr">
        <is>
          <t>Aalborg Stift</t>
        </is>
      </c>
      <c r="B78" s="2" t="inlineStr">
        <is>
          <t>Hadsund Provsti</t>
        </is>
      </c>
      <c r="C78" s="3" t="n">
        <v>17701</v>
      </c>
      <c r="D78" s="3" t="n">
        <v>14937</v>
      </c>
      <c r="E78" s="3" t="n">
        <v>2764</v>
      </c>
      <c r="F78" s="4" t="n">
        <v>0.8438506299079148</v>
      </c>
      <c r="G78" s="3" t="n"/>
      <c r="H78" s="3" t="n"/>
      <c r="I78" s="4" t="n"/>
      <c r="J78" s="5" t="n"/>
      <c r="K78" s="5" t="n">
        <v>0</v>
      </c>
      <c r="L78" s="3" t="n">
        <v>11</v>
      </c>
      <c r="M78" s="3" t="n">
        <v>7</v>
      </c>
      <c r="N78" s="3" t="n">
        <v>12</v>
      </c>
      <c r="O78" s="3" t="n">
        <v>14</v>
      </c>
      <c r="P78" s="3" t="n">
        <v>11</v>
      </c>
      <c r="Q78" s="3" t="n">
        <v>11</v>
      </c>
      <c r="R78" s="3" t="n">
        <v>8</v>
      </c>
      <c r="S78" s="3" t="n">
        <v>4</v>
      </c>
      <c r="T78" s="3" t="n">
        <v>12</v>
      </c>
      <c r="U78" s="2" t="inlineStr">
        <is>
          <t>Tabel vedr. stifter og provstier slut torsdag</t>
        </is>
      </c>
      <c r="V78" s="2" t="inlineStr">
        <is>
          <t>provsti.dk-data fra tidligere app-datasæt</t>
        </is>
      </c>
    </row>
    <row r="79">
      <c r="A79" s="2" t="inlineStr">
        <is>
          <t>Aalborg Stift</t>
        </is>
      </c>
      <c r="B79" s="2" t="inlineStr">
        <is>
          <t>Hjørring Nordre Provsti</t>
        </is>
      </c>
      <c r="C79" s="3" t="n">
        <v>23033</v>
      </c>
      <c r="D79" s="3" t="n">
        <v>19297</v>
      </c>
      <c r="E79" s="3" t="n">
        <v>3736</v>
      </c>
      <c r="F79" s="4" t="n">
        <v>0.8377979420830982</v>
      </c>
      <c r="G79" s="3" t="n">
        <v>18800</v>
      </c>
      <c r="H79" s="3" t="n">
        <v>-4233</v>
      </c>
      <c r="I79" s="4" t="n"/>
      <c r="J79" s="5" t="n">
        <v>117898.8509193002</v>
      </c>
      <c r="K79" s="5" t="n">
        <v>1178.988509193003</v>
      </c>
      <c r="L79" s="3" t="n">
        <v>13</v>
      </c>
      <c r="M79" s="3" t="n">
        <v>9</v>
      </c>
      <c r="N79" s="3" t="n">
        <v>21</v>
      </c>
      <c r="O79" s="3" t="n">
        <v>23</v>
      </c>
      <c r="P79" s="3" t="n">
        <v>14</v>
      </c>
      <c r="Q79" s="3" t="n">
        <v>14</v>
      </c>
      <c r="R79" s="3" t="n">
        <v>16</v>
      </c>
      <c r="S79" s="3" t="n">
        <v>1</v>
      </c>
      <c r="T79" s="3" t="n">
        <v>17</v>
      </c>
      <c r="U79" s="2" t="inlineStr">
        <is>
          <t>Tabel vedr. stifter og provstier slut torsdag</t>
        </is>
      </c>
      <c r="V79" s="2" t="inlineStr">
        <is>
          <t>provsti.dk-data fra tidligere app-datasæt</t>
        </is>
      </c>
    </row>
    <row r="80">
      <c r="A80" s="2" t="inlineStr">
        <is>
          <t>Aalborg Stift</t>
        </is>
      </c>
      <c r="B80" s="2" t="inlineStr">
        <is>
          <t>Hjørring Søndre Provsti</t>
        </is>
      </c>
      <c r="C80" s="3" t="n">
        <v>41575</v>
      </c>
      <c r="D80" s="3" t="n">
        <v>34323</v>
      </c>
      <c r="E80" s="3" t="n">
        <v>7252</v>
      </c>
      <c r="F80" s="4" t="n">
        <v>0.8255682501503308</v>
      </c>
      <c r="G80" s="3" t="n"/>
      <c r="H80" s="3" t="n"/>
      <c r="I80" s="4" t="n"/>
      <c r="J80" s="5" t="n"/>
      <c r="K80" s="5" t="n">
        <v>0</v>
      </c>
      <c r="L80" s="3" t="n">
        <v>15</v>
      </c>
      <c r="M80" s="3" t="n">
        <v>9</v>
      </c>
      <c r="N80" s="3" t="n">
        <v>22</v>
      </c>
      <c r="O80" s="3" t="n">
        <v>30</v>
      </c>
      <c r="P80" s="3" t="n">
        <v>15</v>
      </c>
      <c r="Q80" s="3" t="n">
        <v>15</v>
      </c>
      <c r="R80" s="3" t="n">
        <v>17</v>
      </c>
      <c r="S80" s="3" t="n">
        <v>2</v>
      </c>
      <c r="T80" s="3" t="n">
        <v>19</v>
      </c>
      <c r="U80" s="2" t="inlineStr">
        <is>
          <t>Tabel vedr. stifter og provstier slut torsdag</t>
        </is>
      </c>
      <c r="V80" s="2" t="inlineStr">
        <is>
          <t>provsti.dk-data fra tidligere app-datasæt</t>
        </is>
      </c>
    </row>
    <row r="81">
      <c r="A81" s="2" t="inlineStr">
        <is>
          <t>Aalborg Stift</t>
        </is>
      </c>
      <c r="B81" s="2" t="inlineStr">
        <is>
          <t>Jammerbugt Provsti</t>
        </is>
      </c>
      <c r="C81" s="3" t="n">
        <v>37933</v>
      </c>
      <c r="D81" s="3" t="n">
        <v>31781</v>
      </c>
      <c r="E81" s="3" t="n">
        <v>6152</v>
      </c>
      <c r="F81" s="4" t="n">
        <v>0.8378193129992355</v>
      </c>
      <c r="G81" s="3" t="n">
        <v>36000</v>
      </c>
      <c r="H81" s="3" t="n">
        <v>-1933</v>
      </c>
      <c r="I81" s="4" t="n"/>
      <c r="J81" s="5" t="n">
        <v>68522.96343530589</v>
      </c>
      <c r="K81" s="5" t="n">
        <v>685.2296343530589</v>
      </c>
      <c r="L81" s="3" t="n">
        <v>16</v>
      </c>
      <c r="M81" s="3" t="n">
        <v>14</v>
      </c>
      <c r="N81" s="3" t="n">
        <v>28</v>
      </c>
      <c r="O81" s="3" t="n">
        <v>33</v>
      </c>
      <c r="P81" s="3" t="n">
        <v>13</v>
      </c>
      <c r="Q81" s="3" t="n">
        <v>13</v>
      </c>
      <c r="R81" s="3" t="n">
        <v>24</v>
      </c>
      <c r="S81" s="3" t="n">
        <v>1</v>
      </c>
      <c r="T81" s="3" t="n">
        <v>25</v>
      </c>
      <c r="U81" s="2" t="inlineStr">
        <is>
          <t>Tabel vedr. stifter og provstier slut torsdag</t>
        </is>
      </c>
      <c r="V81" s="2" t="inlineStr">
        <is>
          <t>provsti.dk-data fra tidligere app-datasæt</t>
        </is>
      </c>
    </row>
    <row r="82">
      <c r="A82" s="2" t="inlineStr">
        <is>
          <t>Aalborg Stift</t>
        </is>
      </c>
      <c r="B82" s="2" t="inlineStr">
        <is>
          <t>Morsø Provsti</t>
        </is>
      </c>
      <c r="C82" s="3" t="n">
        <v>19329</v>
      </c>
      <c r="D82" s="3" t="n">
        <v>15681</v>
      </c>
      <c r="E82" s="3" t="n">
        <v>3648</v>
      </c>
      <c r="F82" s="4" t="n">
        <v>0.8112680428371877</v>
      </c>
      <c r="G82" s="3" t="n">
        <v>17532</v>
      </c>
      <c r="H82" s="3" t="n">
        <v>-1797</v>
      </c>
      <c r="I82" s="4" t="n"/>
      <c r="J82" s="5" t="n">
        <v>34931.46183113618</v>
      </c>
      <c r="K82" s="5" t="n">
        <v>349.3146183113618</v>
      </c>
      <c r="L82" s="3" t="n">
        <v>16</v>
      </c>
      <c r="M82" s="3" t="n">
        <v>8</v>
      </c>
      <c r="N82" s="3" t="n">
        <v>32</v>
      </c>
      <c r="O82" s="3" t="n">
        <v>34</v>
      </c>
      <c r="P82" s="3" t="n">
        <v>7</v>
      </c>
      <c r="Q82" s="3" t="n">
        <v>7</v>
      </c>
      <c r="R82" s="3" t="n">
        <v>15</v>
      </c>
      <c r="S82" s="3" t="n">
        <v>0</v>
      </c>
      <c r="T82" s="3" t="n">
        <v>15</v>
      </c>
      <c r="U82" s="2" t="inlineStr">
        <is>
          <t>Tabel vedr. stifter og provstier slut torsdag</t>
        </is>
      </c>
      <c r="V82" s="2" t="inlineStr">
        <is>
          <t>provsti.dk-data fra tidligere app-datasæt</t>
        </is>
      </c>
    </row>
    <row r="83">
      <c r="A83" s="2" t="inlineStr">
        <is>
          <t>Aalborg Stift</t>
        </is>
      </c>
      <c r="B83" s="2" t="inlineStr">
        <is>
          <t>Rebild Provsti</t>
        </is>
      </c>
      <c r="C83" s="3" t="n">
        <v>31276</v>
      </c>
      <c r="D83" s="3" t="n">
        <v>25824</v>
      </c>
      <c r="E83" s="3" t="n">
        <v>5452</v>
      </c>
      <c r="F83" s="4" t="n">
        <v>0.8256810333802277</v>
      </c>
      <c r="G83" s="3" t="n">
        <v>30911</v>
      </c>
      <c r="H83" s="3" t="n">
        <v>-365</v>
      </c>
      <c r="I83" s="4" t="n"/>
      <c r="J83" s="5" t="n">
        <v>59928.17793160963</v>
      </c>
      <c r="K83" s="5" t="n">
        <v>599.2817793160964</v>
      </c>
      <c r="L83" s="3" t="n">
        <v>16</v>
      </c>
      <c r="M83" s="3" t="n">
        <v>9</v>
      </c>
      <c r="N83" s="3" t="n">
        <v>29</v>
      </c>
      <c r="O83" s="3" t="n">
        <v>30</v>
      </c>
      <c r="P83" s="3" t="n">
        <v>13</v>
      </c>
      <c r="Q83" s="3" t="n">
        <v>13</v>
      </c>
      <c r="R83" s="3" t="n">
        <v>20</v>
      </c>
      <c r="S83" s="3" t="n">
        <v>2</v>
      </c>
      <c r="T83" s="3" t="n">
        <v>22</v>
      </c>
      <c r="U83" s="2" t="inlineStr">
        <is>
          <t>Tabel vedr. stifter og provstier slut torsdag</t>
        </is>
      </c>
      <c r="V83" s="2" t="inlineStr">
        <is>
          <t>provsti.dk-data fra tidligere app-datasæt</t>
        </is>
      </c>
    </row>
    <row r="84">
      <c r="A84" s="2" t="inlineStr">
        <is>
          <t>Aalborg Stift</t>
        </is>
      </c>
      <c r="B84" s="2" t="inlineStr">
        <is>
          <t>Sydthy Provsti</t>
        </is>
      </c>
      <c r="C84" s="3" t="n">
        <v>12499</v>
      </c>
      <c r="D84" s="3" t="n">
        <v>10580</v>
      </c>
      <c r="E84" s="3" t="n">
        <v>1919</v>
      </c>
      <c r="F84" s="4" t="n">
        <v>0.8464677174173934</v>
      </c>
      <c r="G84" s="3" t="n"/>
      <c r="H84" s="3" t="n"/>
      <c r="I84" s="4" t="n"/>
      <c r="J84" s="5" t="n"/>
      <c r="K84" s="5" t="n">
        <v>0</v>
      </c>
      <c r="L84" s="3" t="n">
        <v>14</v>
      </c>
      <c r="M84" s="3" t="n">
        <v>8</v>
      </c>
      <c r="N84" s="3" t="n">
        <v>23</v>
      </c>
      <c r="O84" s="3" t="n">
        <v>26</v>
      </c>
      <c r="P84" s="3" t="n">
        <v>7</v>
      </c>
      <c r="Q84" s="3" t="n">
        <v>7</v>
      </c>
      <c r="R84" s="3" t="n">
        <v>12</v>
      </c>
      <c r="S84" s="3" t="n">
        <v>0</v>
      </c>
      <c r="T84" s="3" t="n">
        <v>12</v>
      </c>
      <c r="U84" s="2" t="inlineStr">
        <is>
          <t>Tabel vedr. stifter og provstier slut torsdag</t>
        </is>
      </c>
      <c r="V84" s="2" t="inlineStr">
        <is>
          <t>provsti.dk-data fra tidligere app-datasæt</t>
        </is>
      </c>
    </row>
    <row r="85">
      <c r="A85" s="2" t="inlineStr">
        <is>
          <t>Aalborg Stift</t>
        </is>
      </c>
      <c r="B85" s="2" t="inlineStr">
        <is>
          <t>Thisted Provsti</t>
        </is>
      </c>
      <c r="C85" s="3" t="n">
        <v>30045</v>
      </c>
      <c r="D85" s="3" t="n">
        <v>23769</v>
      </c>
      <c r="E85" s="3" t="n">
        <v>6276</v>
      </c>
      <c r="F85" s="4" t="n">
        <v>0.7911133300049925</v>
      </c>
      <c r="G85" s="3" t="n">
        <v>27748</v>
      </c>
      <c r="H85" s="3" t="n">
        <v>-2297</v>
      </c>
      <c r="I85" s="4" t="n"/>
      <c r="J85" s="5" t="n">
        <v>80838.76433511397</v>
      </c>
      <c r="K85" s="5" t="n">
        <v>808.3876433511398</v>
      </c>
      <c r="L85" s="3" t="n">
        <v>19</v>
      </c>
      <c r="M85" s="3" t="n">
        <v>10</v>
      </c>
      <c r="N85" s="3" t="n">
        <v>30</v>
      </c>
      <c r="O85" s="3" t="n">
        <v>35</v>
      </c>
      <c r="P85" s="3" t="n">
        <v>12</v>
      </c>
      <c r="Q85" s="3" t="n">
        <v>12</v>
      </c>
      <c r="R85" s="3" t="n">
        <v>18</v>
      </c>
      <c r="S85" s="3" t="n">
        <v>0</v>
      </c>
      <c r="T85" s="3" t="n">
        <v>18</v>
      </c>
      <c r="U85" s="2" t="inlineStr">
        <is>
          <t>Tabel vedr. stifter og provstier slut torsdag</t>
        </is>
      </c>
      <c r="V85" s="2" t="inlineStr">
        <is>
          <t>provsti.dk-data fra tidligere app-datasæt</t>
        </is>
      </c>
    </row>
    <row r="86">
      <c r="A86" s="2" t="inlineStr">
        <is>
          <t>Aalborg Stift</t>
        </is>
      </c>
      <c r="B86" s="2" t="inlineStr">
        <is>
          <t>Aalborg Budolfi Provsti</t>
        </is>
      </c>
      <c r="C86" s="3" t="n">
        <v>84613</v>
      </c>
      <c r="D86" s="3" t="n">
        <v>61503</v>
      </c>
      <c r="E86" s="3" t="n">
        <v>23110</v>
      </c>
      <c r="F86" s="4" t="n">
        <v>0.7268741209979553</v>
      </c>
      <c r="G86" s="3" t="n">
        <v>95031</v>
      </c>
      <c r="H86" s="3" t="n">
        <v>10418</v>
      </c>
      <c r="I86" s="4" t="n"/>
      <c r="J86" s="5" t="n">
        <v>306527.3369873663</v>
      </c>
      <c r="K86" s="5" t="n">
        <v>3065.273369873663</v>
      </c>
      <c r="L86" s="3" t="n">
        <v>10</v>
      </c>
      <c r="M86" s="3" t="n">
        <v>10</v>
      </c>
      <c r="N86" s="3" t="n">
        <v>10</v>
      </c>
      <c r="O86" s="3" t="n">
        <v>15</v>
      </c>
      <c r="P86" s="3" t="n">
        <v>30</v>
      </c>
      <c r="Q86" s="3" t="n">
        <v>30</v>
      </c>
      <c r="R86" s="3" t="n">
        <v>23</v>
      </c>
      <c r="S86" s="3" t="n">
        <v>8</v>
      </c>
      <c r="T86" s="3" t="n">
        <v>31</v>
      </c>
      <c r="U86" s="2" t="inlineStr">
        <is>
          <t>Tabel vedr. stifter og provstier slut torsdag</t>
        </is>
      </c>
      <c r="V86" s="2" t="inlineStr">
        <is>
          <t>provsti.dk-data fra tidligere app-datasæt</t>
        </is>
      </c>
    </row>
    <row r="87">
      <c r="A87" s="2" t="inlineStr">
        <is>
          <t>Aalborg Stift</t>
        </is>
      </c>
      <c r="B87" s="2" t="inlineStr">
        <is>
          <t>Aalborg Nordre Provsti</t>
        </is>
      </c>
      <c r="C87" s="3" t="n">
        <v>54417</v>
      </c>
      <c r="D87" s="3" t="n">
        <v>42762</v>
      </c>
      <c r="E87" s="3" t="n">
        <v>11655</v>
      </c>
      <c r="F87" s="4" t="n">
        <v>0.7858206075307349</v>
      </c>
      <c r="G87" s="3" t="n"/>
      <c r="H87" s="3" t="n"/>
      <c r="I87" s="4" t="n"/>
      <c r="J87" s="5" t="n"/>
      <c r="K87" s="5" t="n">
        <v>0</v>
      </c>
      <c r="L87" s="3" t="n">
        <v>13</v>
      </c>
      <c r="M87" s="3" t="n">
        <v>12</v>
      </c>
      <c r="N87" s="3" t="n">
        <v>14</v>
      </c>
      <c r="O87" s="3" t="n">
        <v>24</v>
      </c>
      <c r="P87" s="3" t="n">
        <v>20</v>
      </c>
      <c r="Q87" s="3" t="n">
        <v>20</v>
      </c>
      <c r="R87" s="3" t="n">
        <v>23</v>
      </c>
      <c r="S87" s="3" t="n">
        <v>4</v>
      </c>
      <c r="T87" s="3" t="n">
        <v>27</v>
      </c>
      <c r="U87" s="2" t="inlineStr">
        <is>
          <t>Tabel vedr. stifter og provstier slut torsdag</t>
        </is>
      </c>
      <c r="V87" s="2" t="inlineStr">
        <is>
          <t>provsti.dk-data fra tidligere app-datasæt</t>
        </is>
      </c>
    </row>
    <row r="88">
      <c r="A88" s="2" t="inlineStr">
        <is>
          <t>Aalborg Stift</t>
        </is>
      </c>
      <c r="B88" s="2" t="inlineStr">
        <is>
          <t>Aalborg Vestre Provsti</t>
        </is>
      </c>
      <c r="C88" s="3" t="n">
        <v>27243</v>
      </c>
      <c r="D88" s="3" t="n">
        <v>22875</v>
      </c>
      <c r="E88" s="3" t="n">
        <v>4368</v>
      </c>
      <c r="F88" s="4" t="n">
        <v>0.8396652351062658</v>
      </c>
      <c r="G88" s="3" t="n"/>
      <c r="H88" s="3" t="n"/>
      <c r="I88" s="4" t="n"/>
      <c r="J88" s="5" t="n"/>
      <c r="K88" s="5" t="n">
        <v>0</v>
      </c>
      <c r="L88" s="3" t="n">
        <v>10</v>
      </c>
      <c r="M88" s="3" t="n">
        <v>8</v>
      </c>
      <c r="N88" s="3" t="n">
        <v>17</v>
      </c>
      <c r="O88" s="3" t="n">
        <v>18</v>
      </c>
      <c r="P88" s="3" t="n">
        <v>12</v>
      </c>
      <c r="Q88" s="3" t="n">
        <v>12</v>
      </c>
      <c r="R88" s="3" t="n">
        <v>11</v>
      </c>
      <c r="S88" s="3" t="n">
        <v>6</v>
      </c>
      <c r="T88" s="3" t="n">
        <v>17</v>
      </c>
      <c r="U88" s="2" t="inlineStr">
        <is>
          <t>Tabel vedr. stifter og provstier slut torsdag</t>
        </is>
      </c>
      <c r="V88" s="2" t="inlineStr">
        <is>
          <t>provsti.dk-data fra tidligere app-datasæt</t>
        </is>
      </c>
    </row>
    <row r="89">
      <c r="A89" s="2" t="inlineStr">
        <is>
          <t>Aalborg Stift</t>
        </is>
      </c>
      <c r="B89" s="2" t="inlineStr">
        <is>
          <t>Aalborg Østre Provsti</t>
        </is>
      </c>
      <c r="C89" s="3" t="n">
        <v>60006</v>
      </c>
      <c r="D89" s="3" t="n">
        <v>44981</v>
      </c>
      <c r="E89" s="3" t="n">
        <v>15025</v>
      </c>
      <c r="F89" s="4" t="n">
        <v>0.7496083724960837</v>
      </c>
      <c r="G89" s="3" t="n"/>
      <c r="H89" s="3" t="n"/>
      <c r="I89" s="4" t="n"/>
      <c r="J89" s="5" t="n"/>
      <c r="K89" s="5" t="n">
        <v>0</v>
      </c>
      <c r="L89" s="3" t="n">
        <v>12</v>
      </c>
      <c r="M89" s="3" t="n">
        <v>9</v>
      </c>
      <c r="N89" s="3" t="n">
        <v>16</v>
      </c>
      <c r="O89" s="3" t="n">
        <v>21</v>
      </c>
      <c r="P89" s="3" t="n">
        <v>20</v>
      </c>
      <c r="Q89" s="3" t="n">
        <v>20</v>
      </c>
      <c r="R89" s="3" t="n">
        <v>24</v>
      </c>
      <c r="S89" s="3" t="n">
        <v>2</v>
      </c>
      <c r="T89" s="3" t="n">
        <v>26</v>
      </c>
      <c r="U89" s="2" t="inlineStr">
        <is>
          <t>Tabel vedr. stifter og provstier slut torsdag</t>
        </is>
      </c>
      <c r="V89" s="2" t="inlineStr">
        <is>
          <t>provsti.dk-data fra tidligere app-datasæt</t>
        </is>
      </c>
    </row>
    <row r="90">
      <c r="A90" s="2" t="inlineStr">
        <is>
          <t>Aarhus Stift</t>
        </is>
      </c>
      <c r="B90" s="2" t="inlineStr">
        <is>
          <t>Favrskov Provsti</t>
        </is>
      </c>
      <c r="C90" s="3" t="n">
        <v>49800</v>
      </c>
      <c r="D90" s="3" t="n">
        <v>39604</v>
      </c>
      <c r="E90" s="3" t="n">
        <v>10196</v>
      </c>
      <c r="F90" s="4" t="n">
        <v>0.7952610441767068</v>
      </c>
      <c r="G90" s="3" t="n">
        <v>52633</v>
      </c>
      <c r="H90" s="3" t="n">
        <v>2833</v>
      </c>
      <c r="I90" s="4" t="n"/>
      <c r="J90" s="5" t="n">
        <v>72248.6965738048</v>
      </c>
      <c r="K90" s="5" t="n">
        <v>722.486965738048</v>
      </c>
      <c r="L90" s="3" t="n">
        <v>15</v>
      </c>
      <c r="M90" s="3" t="n">
        <v>9</v>
      </c>
      <c r="N90" s="3" t="n">
        <v>34</v>
      </c>
      <c r="O90" s="3" t="n">
        <v>41</v>
      </c>
      <c r="P90" s="3" t="n">
        <v>22</v>
      </c>
      <c r="Q90" s="3" t="n">
        <v>22</v>
      </c>
      <c r="R90" s="3" t="n">
        <v>17</v>
      </c>
      <c r="S90" s="3" t="n">
        <v>6</v>
      </c>
      <c r="T90" s="3" t="n">
        <v>23</v>
      </c>
      <c r="U90" s="2" t="inlineStr">
        <is>
          <t>Tabel vedr. stifter og provstier slut torsdag</t>
        </is>
      </c>
      <c r="V90" s="2" t="inlineStr">
        <is>
          <t>provsti.dk-data fra tidligere app-datasæt</t>
        </is>
      </c>
    </row>
    <row r="91">
      <c r="A91" s="2" t="inlineStr">
        <is>
          <t>Aarhus Stift</t>
        </is>
      </c>
      <c r="B91" s="2" t="inlineStr">
        <is>
          <t>Hobro-Mariager Provsti</t>
        </is>
      </c>
      <c r="C91" s="3" t="n">
        <v>23811</v>
      </c>
      <c r="D91" s="3" t="n">
        <v>18819</v>
      </c>
      <c r="E91" s="3" t="n">
        <v>4992</v>
      </c>
      <c r="F91" s="4" t="n">
        <v>0.7903489983621016</v>
      </c>
      <c r="G91" s="3" t="n">
        <v>23017</v>
      </c>
      <c r="H91" s="3" t="n">
        <v>-794</v>
      </c>
      <c r="I91" s="4" t="n"/>
      <c r="J91" s="5" t="n">
        <v>73630.0477416747</v>
      </c>
      <c r="K91" s="5" t="n">
        <v>736.3004774167472</v>
      </c>
      <c r="L91" s="3" t="n">
        <v>12</v>
      </c>
      <c r="M91" s="3" t="n">
        <v>7</v>
      </c>
      <c r="N91" s="3" t="n">
        <v>17</v>
      </c>
      <c r="O91" s="3" t="n">
        <v>21</v>
      </c>
      <c r="P91" s="3" t="n">
        <v>12</v>
      </c>
      <c r="Q91" s="3" t="n">
        <v>12</v>
      </c>
      <c r="R91" s="3" t="n">
        <v>10</v>
      </c>
      <c r="S91" s="3" t="n">
        <v>2</v>
      </c>
      <c r="T91" s="3" t="n">
        <v>12</v>
      </c>
      <c r="U91" s="2" t="inlineStr">
        <is>
          <t>Tabel vedr. stifter og provstier slut torsdag</t>
        </is>
      </c>
      <c r="V91" s="2" t="inlineStr">
        <is>
          <t>provsti.dk-data fra tidligere app-datasæt</t>
        </is>
      </c>
    </row>
    <row r="92">
      <c r="A92" s="2" t="inlineStr">
        <is>
          <t>Aarhus Stift</t>
        </is>
      </c>
      <c r="B92" s="2" t="inlineStr">
        <is>
          <t>Horsens Provsti</t>
        </is>
      </c>
      <c r="C92" s="3" t="n">
        <v>99087</v>
      </c>
      <c r="D92" s="3" t="n">
        <v>72401</v>
      </c>
      <c r="E92" s="3" t="n">
        <v>26686</v>
      </c>
      <c r="F92" s="4" t="n">
        <v>0.7306811186129361</v>
      </c>
      <c r="G92" s="3" t="n">
        <v>114396</v>
      </c>
      <c r="H92" s="3" t="n">
        <v>15309</v>
      </c>
      <c r="I92" s="4" t="n"/>
      <c r="J92" s="5" t="n">
        <v>102345.2014489394</v>
      </c>
      <c r="K92" s="5" t="n">
        <v>1023.452014489394</v>
      </c>
      <c r="L92" s="3" t="n">
        <v>21</v>
      </c>
      <c r="M92" s="3" t="n">
        <v>12</v>
      </c>
      <c r="N92" s="3" t="n">
        <v>30</v>
      </c>
      <c r="O92" s="3" t="n">
        <v>37</v>
      </c>
      <c r="P92" s="3" t="n">
        <v>35</v>
      </c>
      <c r="Q92" s="3" t="n">
        <v>35</v>
      </c>
      <c r="R92" s="3" t="n">
        <v>30</v>
      </c>
      <c r="S92" s="3" t="n">
        <v>11</v>
      </c>
      <c r="T92" s="3" t="n">
        <v>41</v>
      </c>
      <c r="U92" s="2" t="inlineStr">
        <is>
          <t>Tabel vedr. stifter og provstier slut torsdag</t>
        </is>
      </c>
      <c r="V92" s="2" t="inlineStr">
        <is>
          <t>provsti.dk-data fra tidligere app-datasæt</t>
        </is>
      </c>
    </row>
    <row r="93">
      <c r="A93" s="2" t="inlineStr">
        <is>
          <t>Aarhus Stift</t>
        </is>
      </c>
      <c r="B93" s="2" t="inlineStr">
        <is>
          <t>Norddjurs Provsti</t>
        </is>
      </c>
      <c r="C93" s="3" t="n">
        <v>36496</v>
      </c>
      <c r="D93" s="3" t="n">
        <v>29598</v>
      </c>
      <c r="E93" s="3" t="n">
        <v>6898</v>
      </c>
      <c r="F93" s="4" t="n">
        <v>0.8109929855326611</v>
      </c>
      <c r="G93" s="3" t="n">
        <v>35913</v>
      </c>
      <c r="H93" s="3" t="n">
        <v>-583</v>
      </c>
      <c r="I93" s="4" t="n"/>
      <c r="J93" s="5" t="n">
        <v>52832.80212188473</v>
      </c>
      <c r="K93" s="5" t="n">
        <v>528.3280212188472</v>
      </c>
      <c r="L93" s="3" t="n">
        <v>21</v>
      </c>
      <c r="M93" s="3" t="n">
        <v>4</v>
      </c>
      <c r="N93" s="3" t="n">
        <v>35</v>
      </c>
      <c r="O93" s="3" t="n">
        <v>43</v>
      </c>
      <c r="P93" s="3" t="n">
        <v>17</v>
      </c>
      <c r="Q93" s="3" t="n">
        <v>17</v>
      </c>
      <c r="R93" s="3" t="n">
        <v>17</v>
      </c>
      <c r="S93" s="3" t="n">
        <v>3</v>
      </c>
      <c r="T93" s="3" t="n">
        <v>20</v>
      </c>
      <c r="U93" s="2" t="inlineStr">
        <is>
          <t>Tabel vedr. stifter og provstier slut torsdag</t>
        </is>
      </c>
      <c r="V93" s="2" t="inlineStr">
        <is>
          <t>provsti.dk-data fra tidligere app-datasæt</t>
        </is>
      </c>
    </row>
    <row r="94">
      <c r="A94" s="2" t="inlineStr">
        <is>
          <t>Aarhus Stift</t>
        </is>
      </c>
      <c r="B94" s="2" t="inlineStr">
        <is>
          <t>Odder Provsti</t>
        </is>
      </c>
      <c r="C94" s="3" t="n">
        <v>24370</v>
      </c>
      <c r="D94" s="3" t="n">
        <v>19073</v>
      </c>
      <c r="E94" s="3" t="n">
        <v>5297</v>
      </c>
      <c r="F94" s="4" t="n">
        <v>0.7826425933524825</v>
      </c>
      <c r="G94" s="3" t="n">
        <v>27182</v>
      </c>
      <c r="H94" s="3" t="n">
        <v>2812</v>
      </c>
      <c r="I94" s="4" t="n"/>
      <c r="J94" s="5" t="n">
        <v>33643.81286354003</v>
      </c>
      <c r="K94" s="5" t="n">
        <v>336.4381286354003</v>
      </c>
      <c r="L94" s="3" t="n">
        <v>4</v>
      </c>
      <c r="M94" s="3" t="n">
        <v>3</v>
      </c>
      <c r="N94" s="3" t="n">
        <v>14</v>
      </c>
      <c r="O94" s="3" t="n">
        <v>17</v>
      </c>
      <c r="P94" s="3" t="n">
        <v>9</v>
      </c>
      <c r="Q94" s="3" t="n">
        <v>9</v>
      </c>
      <c r="R94" s="3" t="n">
        <v>9</v>
      </c>
      <c r="S94" s="3" t="n">
        <v>1</v>
      </c>
      <c r="T94" s="3" t="n">
        <v>10</v>
      </c>
      <c r="U94" s="2" t="inlineStr">
        <is>
          <t>Tabel vedr. stifter og provstier slut torsdag</t>
        </is>
      </c>
      <c r="V94" s="2" t="inlineStr">
        <is>
          <t>provsti.dk-data fra tidligere app-datasæt</t>
        </is>
      </c>
    </row>
    <row r="95">
      <c r="A95" s="2" t="inlineStr">
        <is>
          <t>Aarhus Stift</t>
        </is>
      </c>
      <c r="B95" s="2" t="inlineStr">
        <is>
          <t>Randers Nordre Provsti</t>
        </is>
      </c>
      <c r="C95" s="3" t="n">
        <v>44165</v>
      </c>
      <c r="D95" s="3" t="n">
        <v>34002</v>
      </c>
      <c r="E95" s="3" t="n">
        <v>10163</v>
      </c>
      <c r="F95" s="4" t="n">
        <v>0.7698856560624929</v>
      </c>
      <c r="G95" s="3" t="n"/>
      <c r="H95" s="3" t="n"/>
      <c r="I95" s="4" t="n"/>
      <c r="J95" s="5" t="n"/>
      <c r="K95" s="5" t="n">
        <v>0</v>
      </c>
      <c r="L95" s="3" t="n">
        <v>15</v>
      </c>
      <c r="M95" s="3" t="n">
        <v>9</v>
      </c>
      <c r="N95" s="3" t="n">
        <v>30</v>
      </c>
      <c r="O95" s="3" t="n">
        <v>38</v>
      </c>
      <c r="P95" s="3" t="n">
        <v>19</v>
      </c>
      <c r="Q95" s="3" t="n">
        <v>19</v>
      </c>
      <c r="R95" s="3" t="n">
        <v>19</v>
      </c>
      <c r="S95" s="3" t="n">
        <v>1</v>
      </c>
      <c r="T95" s="3" t="n">
        <v>20</v>
      </c>
      <c r="U95" s="2" t="inlineStr">
        <is>
          <t>Tabel vedr. stifter og provstier slut torsdag</t>
        </is>
      </c>
      <c r="V95" s="2" t="inlineStr">
        <is>
          <t>provsti.dk-data fra tidligere app-datasæt</t>
        </is>
      </c>
    </row>
    <row r="96">
      <c r="A96" s="2" t="inlineStr">
        <is>
          <t>Aarhus Stift</t>
        </is>
      </c>
      <c r="B96" s="2" t="inlineStr">
        <is>
          <t>Randers Søndre Provsti</t>
        </is>
      </c>
      <c r="C96" s="3" t="n">
        <v>56503</v>
      </c>
      <c r="D96" s="3" t="n">
        <v>45450</v>
      </c>
      <c r="E96" s="3" t="n">
        <v>11053</v>
      </c>
      <c r="F96" s="4" t="n">
        <v>0.8043820682087677</v>
      </c>
      <c r="G96" s="3" t="n">
        <v>63846</v>
      </c>
      <c r="H96" s="3" t="n">
        <v>7343</v>
      </c>
      <c r="I96" s="4" t="n"/>
      <c r="J96" s="5" t="n">
        <v>125551.3295470545</v>
      </c>
      <c r="K96" s="5" t="n">
        <v>1255.513295470545</v>
      </c>
      <c r="L96" s="3" t="n">
        <v>17</v>
      </c>
      <c r="M96" s="3" t="n">
        <v>11</v>
      </c>
      <c r="N96" s="3" t="n">
        <v>24</v>
      </c>
      <c r="O96" s="3" t="n">
        <v>26</v>
      </c>
      <c r="P96" s="3" t="n">
        <v>21</v>
      </c>
      <c r="Q96" s="3" t="n">
        <v>21</v>
      </c>
      <c r="R96" s="3" t="n">
        <v>18</v>
      </c>
      <c r="S96" s="3" t="n">
        <v>6</v>
      </c>
      <c r="T96" s="3" t="n">
        <v>24</v>
      </c>
      <c r="U96" s="2" t="inlineStr">
        <is>
          <t>Tabel vedr. stifter og provstier slut torsdag</t>
        </is>
      </c>
      <c r="V96" s="2" t="inlineStr">
        <is>
          <t>provsti.dk-data fra tidligere app-datasæt</t>
        </is>
      </c>
    </row>
    <row r="97">
      <c r="A97" s="2" t="inlineStr">
        <is>
          <t>Aarhus Stift</t>
        </is>
      </c>
      <c r="B97" s="2" t="inlineStr">
        <is>
          <t>Silkeborg Provsti</t>
        </is>
      </c>
      <c r="C97" s="3" t="n">
        <v>88676</v>
      </c>
      <c r="D97" s="3" t="n">
        <v>68967</v>
      </c>
      <c r="E97" s="3" t="n">
        <v>19709</v>
      </c>
      <c r="F97" s="4" t="n">
        <v>0.7777414407505977</v>
      </c>
      <c r="G97" s="3" t="n">
        <v>105537</v>
      </c>
      <c r="H97" s="3" t="n">
        <v>16861</v>
      </c>
      <c r="I97" s="4" t="n"/>
      <c r="J97" s="5" t="n">
        <v>141813.0747712486</v>
      </c>
      <c r="K97" s="5" t="n">
        <v>1418.130747712486</v>
      </c>
      <c r="L97" s="3" t="n">
        <v>19</v>
      </c>
      <c r="M97" s="3" t="n">
        <v>14</v>
      </c>
      <c r="N97" s="3" t="n">
        <v>24</v>
      </c>
      <c r="O97" s="3" t="n">
        <v>30</v>
      </c>
      <c r="P97" s="3" t="n">
        <v>30</v>
      </c>
      <c r="Q97" s="3" t="n">
        <v>30</v>
      </c>
      <c r="R97" s="3" t="n">
        <v>26</v>
      </c>
      <c r="S97" s="3" t="n">
        <v>7</v>
      </c>
      <c r="T97" s="3" t="n">
        <v>33</v>
      </c>
      <c r="U97" s="2" t="inlineStr">
        <is>
          <t>Tabel vedr. stifter og provstier slut torsdag</t>
        </is>
      </c>
      <c r="V97" s="2" t="inlineStr">
        <is>
          <t>provsti.dk-data fra tidligere app-datasæt</t>
        </is>
      </c>
    </row>
    <row r="98">
      <c r="A98" s="2" t="inlineStr">
        <is>
          <t>Aarhus Stift</t>
        </is>
      </c>
      <c r="B98" s="2" t="inlineStr">
        <is>
          <t>Skanderborg Provsti</t>
        </is>
      </c>
      <c r="C98" s="3" t="n">
        <v>66243</v>
      </c>
      <c r="D98" s="3" t="n">
        <v>52414</v>
      </c>
      <c r="E98" s="3" t="n">
        <v>13829</v>
      </c>
      <c r="F98" s="4" t="n">
        <v>0.7912383195205531</v>
      </c>
      <c r="G98" s="3" t="n">
        <v>71696</v>
      </c>
      <c r="H98" s="3" t="n">
        <v>5453</v>
      </c>
      <c r="I98" s="4" t="n"/>
      <c r="J98" s="5" t="n">
        <v>86652.09829020074</v>
      </c>
      <c r="K98" s="5" t="n">
        <v>866.5209829020074</v>
      </c>
      <c r="L98" s="3" t="n">
        <v>17</v>
      </c>
      <c r="M98" s="3" t="n">
        <v>15</v>
      </c>
      <c r="N98" s="3" t="n">
        <v>25</v>
      </c>
      <c r="O98" s="3" t="n">
        <v>31</v>
      </c>
      <c r="P98" s="3" t="n">
        <v>27</v>
      </c>
      <c r="Q98" s="3" t="n">
        <v>27</v>
      </c>
      <c r="R98" s="3" t="n">
        <v>20</v>
      </c>
      <c r="S98" s="3" t="n">
        <v>8</v>
      </c>
      <c r="T98" s="3" t="n">
        <v>28</v>
      </c>
      <c r="U98" s="2" t="inlineStr">
        <is>
          <t>Tabel vedr. stifter og provstier slut torsdag</t>
        </is>
      </c>
      <c r="V98" s="2" t="inlineStr">
        <is>
          <t>provsti.dk-data fra tidligere app-datasæt</t>
        </is>
      </c>
    </row>
    <row r="99">
      <c r="A99" s="2" t="inlineStr">
        <is>
          <t>Aarhus Stift</t>
        </is>
      </c>
      <c r="B99" s="2" t="inlineStr">
        <is>
          <t>Syddjurs Provsti</t>
        </is>
      </c>
      <c r="C99" s="3" t="n">
        <v>44518</v>
      </c>
      <c r="D99" s="3" t="n">
        <v>34869</v>
      </c>
      <c r="E99" s="3" t="n">
        <v>9649</v>
      </c>
      <c r="F99" s="4" t="n">
        <v>0.7832562109708433</v>
      </c>
      <c r="G99" s="3" t="n">
        <v>46882</v>
      </c>
      <c r="H99" s="3" t="n">
        <v>2364</v>
      </c>
      <c r="I99" s="4" t="n"/>
      <c r="J99" s="5" t="n">
        <v>63484.50828478913</v>
      </c>
      <c r="K99" s="5" t="n">
        <v>634.8450828478913</v>
      </c>
      <c r="L99" s="3" t="n">
        <v>14</v>
      </c>
      <c r="M99" s="3" t="n">
        <v>12</v>
      </c>
      <c r="N99" s="3" t="n">
        <v>30</v>
      </c>
      <c r="O99" s="3" t="n">
        <v>38</v>
      </c>
      <c r="P99" s="3" t="n">
        <v>20</v>
      </c>
      <c r="Q99" s="3" t="n">
        <v>20</v>
      </c>
      <c r="R99" s="3" t="n">
        <v>17</v>
      </c>
      <c r="S99" s="3" t="n">
        <v>5</v>
      </c>
      <c r="T99" s="3" t="n">
        <v>22</v>
      </c>
      <c r="U99" s="2" t="inlineStr">
        <is>
          <t>Tabel vedr. stifter og provstier slut torsdag</t>
        </is>
      </c>
      <c r="V99" s="2" t="inlineStr">
        <is>
          <t>provsti.dk-data fra tidligere app-datasæt</t>
        </is>
      </c>
    </row>
    <row r="100">
      <c r="A100" s="2" t="inlineStr">
        <is>
          <t>Aarhus Stift</t>
        </is>
      </c>
      <c r="B100" s="2" t="inlineStr">
        <is>
          <t>Aarhus Domprovsti</t>
        </is>
      </c>
      <c r="C100" s="3" t="n">
        <v>112583</v>
      </c>
      <c r="D100" s="3" t="n">
        <v>82342</v>
      </c>
      <c r="E100" s="3" t="n">
        <v>30241</v>
      </c>
      <c r="F100" s="4" t="n">
        <v>0.7313892861266799</v>
      </c>
      <c r="G100" s="3" t="n">
        <v>153930</v>
      </c>
      <c r="H100" s="3" t="n">
        <v>41347</v>
      </c>
      <c r="I100" s="4" t="n"/>
      <c r="J100" s="5" t="n">
        <v>361945.4322630175</v>
      </c>
      <c r="K100" s="5" t="n">
        <v>3619.454322630175</v>
      </c>
      <c r="L100" s="3" t="n">
        <v>9</v>
      </c>
      <c r="M100" s="3" t="n">
        <v>9</v>
      </c>
      <c r="N100" s="3" t="n">
        <v>9</v>
      </c>
      <c r="O100" s="3" t="n">
        <v>21</v>
      </c>
      <c r="P100" s="3" t="n">
        <v>39</v>
      </c>
      <c r="Q100" s="3" t="n">
        <v>39</v>
      </c>
      <c r="R100" s="3" t="n">
        <v>26</v>
      </c>
      <c r="S100" s="3" t="n">
        <v>17</v>
      </c>
      <c r="T100" s="3" t="n">
        <v>43</v>
      </c>
      <c r="U100" s="2" t="inlineStr">
        <is>
          <t>Tabel vedr. stifter og provstier slut torsdag</t>
        </is>
      </c>
      <c r="V100" s="2" t="inlineStr">
        <is>
          <t>provsti.dk-data fra tidligere app-datasæt</t>
        </is>
      </c>
    </row>
    <row r="101">
      <c r="A101" s="2" t="inlineStr">
        <is>
          <t>Aarhus Stift</t>
        </is>
      </c>
      <c r="B101" s="2" t="inlineStr">
        <is>
          <t>Aarhus Nordre Provsti</t>
        </is>
      </c>
      <c r="C101" s="3" t="n">
        <v>89211</v>
      </c>
      <c r="D101" s="3" t="n">
        <v>64096</v>
      </c>
      <c r="E101" s="3" t="n">
        <v>25115</v>
      </c>
      <c r="F101" s="4" t="n">
        <v>0.7184764210691507</v>
      </c>
      <c r="G101" s="3" t="n"/>
      <c r="H101" s="3" t="n"/>
      <c r="I101" s="4" t="n"/>
      <c r="J101" s="5" t="n"/>
      <c r="K101" s="5" t="n">
        <v>0</v>
      </c>
      <c r="L101" s="3" t="n">
        <v>16</v>
      </c>
      <c r="M101" s="3" t="n">
        <v>13</v>
      </c>
      <c r="N101" s="3" t="n">
        <v>17</v>
      </c>
      <c r="O101" s="3" t="n">
        <v>21</v>
      </c>
      <c r="P101" s="3" t="n">
        <v>34</v>
      </c>
      <c r="Q101" s="3" t="n">
        <v>34</v>
      </c>
      <c r="R101" s="3" t="n">
        <v>25</v>
      </c>
      <c r="S101" s="3" t="n">
        <v>16</v>
      </c>
      <c r="T101" s="3" t="n">
        <v>41</v>
      </c>
      <c r="U101" s="2" t="inlineStr">
        <is>
          <t>Tabel vedr. stifter og provstier slut torsdag</t>
        </is>
      </c>
      <c r="V101" s="2" t="inlineStr">
        <is>
          <t>provsti.dk-data fra tidligere app-datasæt</t>
        </is>
      </c>
    </row>
    <row r="102">
      <c r="A102" s="2" t="inlineStr">
        <is>
          <t>Aarhus Stift</t>
        </is>
      </c>
      <c r="B102" s="2" t="inlineStr">
        <is>
          <t>Aarhus Søndre Provsti</t>
        </is>
      </c>
      <c r="C102" s="3" t="n">
        <v>92819</v>
      </c>
      <c r="D102" s="3" t="n">
        <v>63969</v>
      </c>
      <c r="E102" s="3" t="n">
        <v>28850</v>
      </c>
      <c r="F102" s="4" t="n">
        <v>0.6891800170223769</v>
      </c>
      <c r="G102" s="3" t="n"/>
      <c r="H102" s="3" t="n"/>
      <c r="I102" s="4" t="n"/>
      <c r="J102" s="5" t="n"/>
      <c r="K102" s="5" t="n">
        <v>0</v>
      </c>
      <c r="L102" s="3" t="n">
        <v>14</v>
      </c>
      <c r="M102" s="3" t="n">
        <v>14</v>
      </c>
      <c r="N102" s="3" t="n">
        <v>16</v>
      </c>
      <c r="O102" s="3" t="n">
        <v>20</v>
      </c>
      <c r="P102" s="3" t="n">
        <v>27</v>
      </c>
      <c r="Q102" s="3" t="n">
        <v>27</v>
      </c>
      <c r="R102" s="3" t="n">
        <v>22</v>
      </c>
      <c r="S102" s="3" t="n">
        <v>8</v>
      </c>
      <c r="T102" s="3" t="n">
        <v>30</v>
      </c>
      <c r="U102" s="2" t="inlineStr">
        <is>
          <t>Tabel vedr. stifter og provstier slut torsdag</t>
        </is>
      </c>
      <c r="V102" s="2" t="inlineStr">
        <is>
          <t>provsti.dk-data fra tidligere app-datasæt</t>
        </is>
      </c>
    </row>
    <row r="103">
      <c r="A103" s="2" t="inlineStr">
        <is>
          <t>Aarhus Stift</t>
        </is>
      </c>
      <c r="B103" s="2" t="inlineStr">
        <is>
          <t>Aarhus Vestre Provsti</t>
        </is>
      </c>
      <c r="C103" s="3" t="n">
        <v>87568</v>
      </c>
      <c r="D103" s="3" t="n">
        <v>46298</v>
      </c>
      <c r="E103" s="3" t="n">
        <v>41270</v>
      </c>
      <c r="F103" s="4" t="n">
        <v>0.5287091174858396</v>
      </c>
      <c r="G103" s="3" t="n"/>
      <c r="H103" s="3" t="n"/>
      <c r="I103" s="4" t="n"/>
      <c r="J103" s="5" t="n"/>
      <c r="K103" s="5" t="n">
        <v>0</v>
      </c>
      <c r="L103" s="3" t="n">
        <v>13</v>
      </c>
      <c r="M103" s="3" t="n">
        <v>10</v>
      </c>
      <c r="N103" s="3" t="n">
        <v>16</v>
      </c>
      <c r="O103" s="3" t="n">
        <v>21</v>
      </c>
      <c r="P103" s="3" t="n">
        <v>28</v>
      </c>
      <c r="Q103" s="3" t="n">
        <v>28</v>
      </c>
      <c r="R103" s="3" t="n">
        <v>24</v>
      </c>
      <c r="S103" s="3" t="n">
        <v>7</v>
      </c>
      <c r="T103" s="3" t="n">
        <v>31</v>
      </c>
      <c r="U103" s="2" t="inlineStr">
        <is>
          <t>Tabel vedr. stifter og provstier slut torsdag</t>
        </is>
      </c>
      <c r="V103" s="2" t="inlineStr">
        <is>
          <t>provsti.dk-data fra tidligere app-datasæt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6" t="inlineStr">
        <is>
          <t>Stift</t>
        </is>
      </c>
      <c r="B1" s="6" t="inlineStr">
        <is>
          <t>Provstier</t>
        </is>
      </c>
      <c r="C1" s="6" t="inlineStr">
        <is>
          <t>Indbyggertal</t>
        </is>
      </c>
      <c r="D1" s="6" t="inlineStr">
        <is>
          <t>Folkekirkemedlemmer</t>
        </is>
      </c>
      <c r="E1" s="6" t="inlineStr">
        <is>
          <t>Ikke-medlemmer</t>
        </is>
      </c>
      <c r="F1" s="6" t="inlineStr">
        <is>
          <t>Medlemsprocent</t>
        </is>
      </c>
      <c r="G1" s="6" t="inlineStr">
        <is>
          <t>Befolkning 2040</t>
        </is>
      </c>
      <c r="H1" s="6" t="inlineStr">
        <is>
          <t>Befolkningsændring</t>
        </is>
      </c>
      <c r="I1" s="6" t="inlineStr">
        <is>
          <t>Lokal ligning t.kr.</t>
        </is>
      </c>
      <c r="J1" s="6" t="inlineStr">
        <is>
          <t>Maks. stiftsbidrag 1 % (t.kr.)</t>
        </is>
      </c>
      <c r="K1" s="6" t="inlineStr">
        <is>
          <t>Menighedsråd</t>
        </is>
      </c>
      <c r="L1" s="6" t="inlineStr">
        <is>
          <t>Pastorater</t>
        </is>
      </c>
      <c r="M1" s="6" t="inlineStr">
        <is>
          <t>Sogne</t>
        </is>
      </c>
      <c r="N1" s="6" t="inlineStr">
        <is>
          <t>Kirker</t>
        </is>
      </c>
      <c r="O1" s="6" t="inlineStr">
        <is>
          <t>Præster inkl. LOFI</t>
        </is>
      </c>
      <c r="P1" s="6" t="inlineStr">
        <is>
          <t>Sognepræster</t>
        </is>
      </c>
      <c r="Q1" s="6" t="inlineStr">
        <is>
          <t>Overenskomstansatte sognepræster</t>
        </is>
      </c>
      <c r="R1" s="6" t="inlineStr">
        <is>
          <t>Præster i alt</t>
        </is>
      </c>
    </row>
    <row r="2">
      <c r="A2" s="2" t="inlineStr">
        <is>
          <t>Fyens Stift</t>
        </is>
      </c>
      <c r="B2" s="2">
        <f>COUNTIF(Provstidata!$A:$A,$A2)</f>
        <v/>
      </c>
      <c r="C2" s="3">
        <f>SUMIF(Provstidata!$A:$A,$A2,Provstidata!$C:$C)</f>
        <v/>
      </c>
      <c r="D2" s="3">
        <f>SUMIF(Provstidata!$A:$A,$A2,Provstidata!$D:$D)</f>
        <v/>
      </c>
      <c r="E2" s="3">
        <f>SUMIF(Provstidata!$A:$A,$A2,Provstidata!$E:$E)</f>
        <v/>
      </c>
      <c r="F2" s="4">
        <f>IF(C2=0,"",D2/C2)</f>
        <v/>
      </c>
      <c r="G2" s="3">
        <f>SUMIF(Provstidata!$A:$A,$A2,Provstidata!$G:$G)</f>
        <v/>
      </c>
      <c r="H2" s="3">
        <f>SUMIF(Provstidata!$A:$A,$A2,Provstidata!$H:$H)</f>
        <v/>
      </c>
      <c r="I2" s="5">
        <f>SUMIF(Provstidata!$A:$A,$A2,Provstidata!$J:$J)</f>
        <v/>
      </c>
      <c r="J2" s="5">
        <f>SUMIF(Provstidata!$A:$A,$A2,Provstidata!$K:$K)</f>
        <v/>
      </c>
      <c r="K2" s="3">
        <f>SUMIF(Provstidata!$A:$A,$A2,Provstidata!$L:$L)</f>
        <v/>
      </c>
      <c r="L2" s="3">
        <f>SUMIF(Provstidata!$A:$A,$A2,Provstidata!$M:$M)</f>
        <v/>
      </c>
      <c r="M2" s="3">
        <f>SUMIF(Provstidata!$A:$A,$A2,Provstidata!$N:$N)</f>
        <v/>
      </c>
      <c r="N2" s="3">
        <f>SUMIF(Provstidata!$A:$A,$A2,Provstidata!$O:$O)</f>
        <v/>
      </c>
      <c r="O2" s="3">
        <f>SUMIF(Provstidata!$A:$A,$A2,Provstidata!$P:$P)</f>
        <v/>
      </c>
      <c r="P2" s="3">
        <f>SUMIF(Provstidata!$A:$A,$A2,Provstidata!$R:$R)</f>
        <v/>
      </c>
      <c r="Q2" s="3">
        <f>SUMIF(Provstidata!$A:$A,$A2,Provstidata!$S:$S)</f>
        <v/>
      </c>
      <c r="R2" s="3">
        <f>SUMIF(Provstidata!$A:$A,$A2,Provstidata!$T:$T)</f>
        <v/>
      </c>
    </row>
    <row r="3">
      <c r="A3" s="2" t="inlineStr">
        <is>
          <t>Haderslev Stift</t>
        </is>
      </c>
      <c r="B3" s="2">
        <f>COUNTIF(Provstidata!$A:$A,$A3)</f>
        <v/>
      </c>
      <c r="C3" s="3">
        <f>SUMIF(Provstidata!$A:$A,$A3,Provstidata!$C:$C)</f>
        <v/>
      </c>
      <c r="D3" s="3">
        <f>SUMIF(Provstidata!$A:$A,$A3,Provstidata!$D:$D)</f>
        <v/>
      </c>
      <c r="E3" s="3">
        <f>SUMIF(Provstidata!$A:$A,$A3,Provstidata!$E:$E)</f>
        <v/>
      </c>
      <c r="F3" s="4">
        <f>IF(C3=0,"",D3/C3)</f>
        <v/>
      </c>
      <c r="G3" s="3">
        <f>SUMIF(Provstidata!$A:$A,$A3,Provstidata!$G:$G)</f>
        <v/>
      </c>
      <c r="H3" s="3">
        <f>SUMIF(Provstidata!$A:$A,$A3,Provstidata!$H:$H)</f>
        <v/>
      </c>
      <c r="I3" s="5">
        <f>SUMIF(Provstidata!$A:$A,$A3,Provstidata!$J:$J)</f>
        <v/>
      </c>
      <c r="J3" s="5">
        <f>SUMIF(Provstidata!$A:$A,$A3,Provstidata!$K:$K)</f>
        <v/>
      </c>
      <c r="K3" s="3">
        <f>SUMIF(Provstidata!$A:$A,$A3,Provstidata!$L:$L)</f>
        <v/>
      </c>
      <c r="L3" s="3">
        <f>SUMIF(Provstidata!$A:$A,$A3,Provstidata!$M:$M)</f>
        <v/>
      </c>
      <c r="M3" s="3">
        <f>SUMIF(Provstidata!$A:$A,$A3,Provstidata!$N:$N)</f>
        <v/>
      </c>
      <c r="N3" s="3">
        <f>SUMIF(Provstidata!$A:$A,$A3,Provstidata!$O:$O)</f>
        <v/>
      </c>
      <c r="O3" s="3">
        <f>SUMIF(Provstidata!$A:$A,$A3,Provstidata!$P:$P)</f>
        <v/>
      </c>
      <c r="P3" s="3">
        <f>SUMIF(Provstidata!$A:$A,$A3,Provstidata!$R:$R)</f>
        <v/>
      </c>
      <c r="Q3" s="3">
        <f>SUMIF(Provstidata!$A:$A,$A3,Provstidata!$S:$S)</f>
        <v/>
      </c>
      <c r="R3" s="3">
        <f>SUMIF(Provstidata!$A:$A,$A3,Provstidata!$T:$T)</f>
        <v/>
      </c>
    </row>
    <row r="4">
      <c r="A4" s="2" t="inlineStr">
        <is>
          <t>Helsingør Stift</t>
        </is>
      </c>
      <c r="B4" s="2">
        <f>COUNTIF(Provstidata!$A:$A,$A4)</f>
        <v/>
      </c>
      <c r="C4" s="3">
        <f>SUMIF(Provstidata!$A:$A,$A4,Provstidata!$C:$C)</f>
        <v/>
      </c>
      <c r="D4" s="3">
        <f>SUMIF(Provstidata!$A:$A,$A4,Provstidata!$D:$D)</f>
        <v/>
      </c>
      <c r="E4" s="3">
        <f>SUMIF(Provstidata!$A:$A,$A4,Provstidata!$E:$E)</f>
        <v/>
      </c>
      <c r="F4" s="4">
        <f>IF(C4=0,"",D4/C4)</f>
        <v/>
      </c>
      <c r="G4" s="3">
        <f>SUMIF(Provstidata!$A:$A,$A4,Provstidata!$G:$G)</f>
        <v/>
      </c>
      <c r="H4" s="3">
        <f>SUMIF(Provstidata!$A:$A,$A4,Provstidata!$H:$H)</f>
        <v/>
      </c>
      <c r="I4" s="5">
        <f>SUMIF(Provstidata!$A:$A,$A4,Provstidata!$J:$J)</f>
        <v/>
      </c>
      <c r="J4" s="5">
        <f>SUMIF(Provstidata!$A:$A,$A4,Provstidata!$K:$K)</f>
        <v/>
      </c>
      <c r="K4" s="3">
        <f>SUMIF(Provstidata!$A:$A,$A4,Provstidata!$L:$L)</f>
        <v/>
      </c>
      <c r="L4" s="3">
        <f>SUMIF(Provstidata!$A:$A,$A4,Provstidata!$M:$M)</f>
        <v/>
      </c>
      <c r="M4" s="3">
        <f>SUMIF(Provstidata!$A:$A,$A4,Provstidata!$N:$N)</f>
        <v/>
      </c>
      <c r="N4" s="3">
        <f>SUMIF(Provstidata!$A:$A,$A4,Provstidata!$O:$O)</f>
        <v/>
      </c>
      <c r="O4" s="3">
        <f>SUMIF(Provstidata!$A:$A,$A4,Provstidata!$P:$P)</f>
        <v/>
      </c>
      <c r="P4" s="3">
        <f>SUMIF(Provstidata!$A:$A,$A4,Provstidata!$R:$R)</f>
        <v/>
      </c>
      <c r="Q4" s="3">
        <f>SUMIF(Provstidata!$A:$A,$A4,Provstidata!$S:$S)</f>
        <v/>
      </c>
      <c r="R4" s="3">
        <f>SUMIF(Provstidata!$A:$A,$A4,Provstidata!$T:$T)</f>
        <v/>
      </c>
    </row>
    <row r="5">
      <c r="A5" s="2" t="inlineStr">
        <is>
          <t>Københavns Stift</t>
        </is>
      </c>
      <c r="B5" s="2">
        <f>COUNTIF(Provstidata!$A:$A,$A5)</f>
        <v/>
      </c>
      <c r="C5" s="3">
        <f>SUMIF(Provstidata!$A:$A,$A5,Provstidata!$C:$C)</f>
        <v/>
      </c>
      <c r="D5" s="3">
        <f>SUMIF(Provstidata!$A:$A,$A5,Provstidata!$D:$D)</f>
        <v/>
      </c>
      <c r="E5" s="3">
        <f>SUMIF(Provstidata!$A:$A,$A5,Provstidata!$E:$E)</f>
        <v/>
      </c>
      <c r="F5" s="4">
        <f>IF(C5=0,"",D5/C5)</f>
        <v/>
      </c>
      <c r="G5" s="3">
        <f>SUMIF(Provstidata!$A:$A,$A5,Provstidata!$G:$G)</f>
        <v/>
      </c>
      <c r="H5" s="3">
        <f>SUMIF(Provstidata!$A:$A,$A5,Provstidata!$H:$H)</f>
        <v/>
      </c>
      <c r="I5" s="5">
        <f>SUMIF(Provstidata!$A:$A,$A5,Provstidata!$J:$J)</f>
        <v/>
      </c>
      <c r="J5" s="5">
        <f>SUMIF(Provstidata!$A:$A,$A5,Provstidata!$K:$K)</f>
        <v/>
      </c>
      <c r="K5" s="3">
        <f>SUMIF(Provstidata!$A:$A,$A5,Provstidata!$L:$L)</f>
        <v/>
      </c>
      <c r="L5" s="3">
        <f>SUMIF(Provstidata!$A:$A,$A5,Provstidata!$M:$M)</f>
        <v/>
      </c>
      <c r="M5" s="3">
        <f>SUMIF(Provstidata!$A:$A,$A5,Provstidata!$N:$N)</f>
        <v/>
      </c>
      <c r="N5" s="3">
        <f>SUMIF(Provstidata!$A:$A,$A5,Provstidata!$O:$O)</f>
        <v/>
      </c>
      <c r="O5" s="3">
        <f>SUMIF(Provstidata!$A:$A,$A5,Provstidata!$P:$P)</f>
        <v/>
      </c>
      <c r="P5" s="3">
        <f>SUMIF(Provstidata!$A:$A,$A5,Provstidata!$R:$R)</f>
        <v/>
      </c>
      <c r="Q5" s="3">
        <f>SUMIF(Provstidata!$A:$A,$A5,Provstidata!$S:$S)</f>
        <v/>
      </c>
      <c r="R5" s="3">
        <f>SUMIF(Provstidata!$A:$A,$A5,Provstidata!$T:$T)</f>
        <v/>
      </c>
    </row>
    <row r="6">
      <c r="A6" s="2" t="inlineStr">
        <is>
          <t>Lolland-Falsters Stift</t>
        </is>
      </c>
      <c r="B6" s="2">
        <f>COUNTIF(Provstidata!$A:$A,$A6)</f>
        <v/>
      </c>
      <c r="C6" s="3">
        <f>SUMIF(Provstidata!$A:$A,$A6,Provstidata!$C:$C)</f>
        <v/>
      </c>
      <c r="D6" s="3">
        <f>SUMIF(Provstidata!$A:$A,$A6,Provstidata!$D:$D)</f>
        <v/>
      </c>
      <c r="E6" s="3">
        <f>SUMIF(Provstidata!$A:$A,$A6,Provstidata!$E:$E)</f>
        <v/>
      </c>
      <c r="F6" s="4">
        <f>IF(C6=0,"",D6/C6)</f>
        <v/>
      </c>
      <c r="G6" s="3">
        <f>SUMIF(Provstidata!$A:$A,$A6,Provstidata!$G:$G)</f>
        <v/>
      </c>
      <c r="H6" s="3">
        <f>SUMIF(Provstidata!$A:$A,$A6,Provstidata!$H:$H)</f>
        <v/>
      </c>
      <c r="I6" s="5">
        <f>SUMIF(Provstidata!$A:$A,$A6,Provstidata!$J:$J)</f>
        <v/>
      </c>
      <c r="J6" s="5">
        <f>SUMIF(Provstidata!$A:$A,$A6,Provstidata!$K:$K)</f>
        <v/>
      </c>
      <c r="K6" s="3">
        <f>SUMIF(Provstidata!$A:$A,$A6,Provstidata!$L:$L)</f>
        <v/>
      </c>
      <c r="L6" s="3">
        <f>SUMIF(Provstidata!$A:$A,$A6,Provstidata!$M:$M)</f>
        <v/>
      </c>
      <c r="M6" s="3">
        <f>SUMIF(Provstidata!$A:$A,$A6,Provstidata!$N:$N)</f>
        <v/>
      </c>
      <c r="N6" s="3">
        <f>SUMIF(Provstidata!$A:$A,$A6,Provstidata!$O:$O)</f>
        <v/>
      </c>
      <c r="O6" s="3">
        <f>SUMIF(Provstidata!$A:$A,$A6,Provstidata!$P:$P)</f>
        <v/>
      </c>
      <c r="P6" s="3">
        <f>SUMIF(Provstidata!$A:$A,$A6,Provstidata!$R:$R)</f>
        <v/>
      </c>
      <c r="Q6" s="3">
        <f>SUMIF(Provstidata!$A:$A,$A6,Provstidata!$S:$S)</f>
        <v/>
      </c>
      <c r="R6" s="3">
        <f>SUMIF(Provstidata!$A:$A,$A6,Provstidata!$T:$T)</f>
        <v/>
      </c>
    </row>
    <row r="7">
      <c r="A7" s="2" t="inlineStr">
        <is>
          <t>Ribe Stift</t>
        </is>
      </c>
      <c r="B7" s="2">
        <f>COUNTIF(Provstidata!$A:$A,$A7)</f>
        <v/>
      </c>
      <c r="C7" s="3">
        <f>SUMIF(Provstidata!$A:$A,$A7,Provstidata!$C:$C)</f>
        <v/>
      </c>
      <c r="D7" s="3">
        <f>SUMIF(Provstidata!$A:$A,$A7,Provstidata!$D:$D)</f>
        <v/>
      </c>
      <c r="E7" s="3">
        <f>SUMIF(Provstidata!$A:$A,$A7,Provstidata!$E:$E)</f>
        <v/>
      </c>
      <c r="F7" s="4">
        <f>IF(C7=0,"",D7/C7)</f>
        <v/>
      </c>
      <c r="G7" s="3">
        <f>SUMIF(Provstidata!$A:$A,$A7,Provstidata!$G:$G)</f>
        <v/>
      </c>
      <c r="H7" s="3">
        <f>SUMIF(Provstidata!$A:$A,$A7,Provstidata!$H:$H)</f>
        <v/>
      </c>
      <c r="I7" s="5">
        <f>SUMIF(Provstidata!$A:$A,$A7,Provstidata!$J:$J)</f>
        <v/>
      </c>
      <c r="J7" s="5">
        <f>SUMIF(Provstidata!$A:$A,$A7,Provstidata!$K:$K)</f>
        <v/>
      </c>
      <c r="K7" s="3">
        <f>SUMIF(Provstidata!$A:$A,$A7,Provstidata!$L:$L)</f>
        <v/>
      </c>
      <c r="L7" s="3">
        <f>SUMIF(Provstidata!$A:$A,$A7,Provstidata!$M:$M)</f>
        <v/>
      </c>
      <c r="M7" s="3">
        <f>SUMIF(Provstidata!$A:$A,$A7,Provstidata!$N:$N)</f>
        <v/>
      </c>
      <c r="N7" s="3">
        <f>SUMIF(Provstidata!$A:$A,$A7,Provstidata!$O:$O)</f>
        <v/>
      </c>
      <c r="O7" s="3">
        <f>SUMIF(Provstidata!$A:$A,$A7,Provstidata!$P:$P)</f>
        <v/>
      </c>
      <c r="P7" s="3">
        <f>SUMIF(Provstidata!$A:$A,$A7,Provstidata!$R:$R)</f>
        <v/>
      </c>
      <c r="Q7" s="3">
        <f>SUMIF(Provstidata!$A:$A,$A7,Provstidata!$S:$S)</f>
        <v/>
      </c>
      <c r="R7" s="3">
        <f>SUMIF(Provstidata!$A:$A,$A7,Provstidata!$T:$T)</f>
        <v/>
      </c>
    </row>
    <row r="8">
      <c r="A8" s="2" t="inlineStr">
        <is>
          <t>Roskilde Stift</t>
        </is>
      </c>
      <c r="B8" s="2">
        <f>COUNTIF(Provstidata!$A:$A,$A8)</f>
        <v/>
      </c>
      <c r="C8" s="3">
        <f>SUMIF(Provstidata!$A:$A,$A8,Provstidata!$C:$C)</f>
        <v/>
      </c>
      <c r="D8" s="3">
        <f>SUMIF(Provstidata!$A:$A,$A8,Provstidata!$D:$D)</f>
        <v/>
      </c>
      <c r="E8" s="3">
        <f>SUMIF(Provstidata!$A:$A,$A8,Provstidata!$E:$E)</f>
        <v/>
      </c>
      <c r="F8" s="4">
        <f>IF(C8=0,"",D8/C8)</f>
        <v/>
      </c>
      <c r="G8" s="3">
        <f>SUMIF(Provstidata!$A:$A,$A8,Provstidata!$G:$G)</f>
        <v/>
      </c>
      <c r="H8" s="3">
        <f>SUMIF(Provstidata!$A:$A,$A8,Provstidata!$H:$H)</f>
        <v/>
      </c>
      <c r="I8" s="5">
        <f>SUMIF(Provstidata!$A:$A,$A8,Provstidata!$J:$J)</f>
        <v/>
      </c>
      <c r="J8" s="5">
        <f>SUMIF(Provstidata!$A:$A,$A8,Provstidata!$K:$K)</f>
        <v/>
      </c>
      <c r="K8" s="3">
        <f>SUMIF(Provstidata!$A:$A,$A8,Provstidata!$L:$L)</f>
        <v/>
      </c>
      <c r="L8" s="3">
        <f>SUMIF(Provstidata!$A:$A,$A8,Provstidata!$M:$M)</f>
        <v/>
      </c>
      <c r="M8" s="3">
        <f>SUMIF(Provstidata!$A:$A,$A8,Provstidata!$N:$N)</f>
        <v/>
      </c>
      <c r="N8" s="3">
        <f>SUMIF(Provstidata!$A:$A,$A8,Provstidata!$O:$O)</f>
        <v/>
      </c>
      <c r="O8" s="3">
        <f>SUMIF(Provstidata!$A:$A,$A8,Provstidata!$P:$P)</f>
        <v/>
      </c>
      <c r="P8" s="3">
        <f>SUMIF(Provstidata!$A:$A,$A8,Provstidata!$R:$R)</f>
        <v/>
      </c>
      <c r="Q8" s="3">
        <f>SUMIF(Provstidata!$A:$A,$A8,Provstidata!$S:$S)</f>
        <v/>
      </c>
      <c r="R8" s="3">
        <f>SUMIF(Provstidata!$A:$A,$A8,Provstidata!$T:$T)</f>
        <v/>
      </c>
    </row>
    <row r="9">
      <c r="A9" s="2" t="inlineStr">
        <is>
          <t>Viborg Stift</t>
        </is>
      </c>
      <c r="B9" s="2">
        <f>COUNTIF(Provstidata!$A:$A,$A9)</f>
        <v/>
      </c>
      <c r="C9" s="3">
        <f>SUMIF(Provstidata!$A:$A,$A9,Provstidata!$C:$C)</f>
        <v/>
      </c>
      <c r="D9" s="3">
        <f>SUMIF(Provstidata!$A:$A,$A9,Provstidata!$D:$D)</f>
        <v/>
      </c>
      <c r="E9" s="3">
        <f>SUMIF(Provstidata!$A:$A,$A9,Provstidata!$E:$E)</f>
        <v/>
      </c>
      <c r="F9" s="4">
        <f>IF(C9=0,"",D9/C9)</f>
        <v/>
      </c>
      <c r="G9" s="3">
        <f>SUMIF(Provstidata!$A:$A,$A9,Provstidata!$G:$G)</f>
        <v/>
      </c>
      <c r="H9" s="3">
        <f>SUMIF(Provstidata!$A:$A,$A9,Provstidata!$H:$H)</f>
        <v/>
      </c>
      <c r="I9" s="5">
        <f>SUMIF(Provstidata!$A:$A,$A9,Provstidata!$J:$J)</f>
        <v/>
      </c>
      <c r="J9" s="5">
        <f>SUMIF(Provstidata!$A:$A,$A9,Provstidata!$K:$K)</f>
        <v/>
      </c>
      <c r="K9" s="3">
        <f>SUMIF(Provstidata!$A:$A,$A9,Provstidata!$L:$L)</f>
        <v/>
      </c>
      <c r="L9" s="3">
        <f>SUMIF(Provstidata!$A:$A,$A9,Provstidata!$M:$M)</f>
        <v/>
      </c>
      <c r="M9" s="3">
        <f>SUMIF(Provstidata!$A:$A,$A9,Provstidata!$N:$N)</f>
        <v/>
      </c>
      <c r="N9" s="3">
        <f>SUMIF(Provstidata!$A:$A,$A9,Provstidata!$O:$O)</f>
        <v/>
      </c>
      <c r="O9" s="3">
        <f>SUMIF(Provstidata!$A:$A,$A9,Provstidata!$P:$P)</f>
        <v/>
      </c>
      <c r="P9" s="3">
        <f>SUMIF(Provstidata!$A:$A,$A9,Provstidata!$R:$R)</f>
        <v/>
      </c>
      <c r="Q9" s="3">
        <f>SUMIF(Provstidata!$A:$A,$A9,Provstidata!$S:$S)</f>
        <v/>
      </c>
      <c r="R9" s="3">
        <f>SUMIF(Provstidata!$A:$A,$A9,Provstidata!$T:$T)</f>
        <v/>
      </c>
    </row>
    <row r="10">
      <c r="A10" s="2" t="inlineStr">
        <is>
          <t>Aalborg Stift</t>
        </is>
      </c>
      <c r="B10" s="2">
        <f>COUNTIF(Provstidata!$A:$A,$A10)</f>
        <v/>
      </c>
      <c r="C10" s="3">
        <f>SUMIF(Provstidata!$A:$A,$A10,Provstidata!$C:$C)</f>
        <v/>
      </c>
      <c r="D10" s="3">
        <f>SUMIF(Provstidata!$A:$A,$A10,Provstidata!$D:$D)</f>
        <v/>
      </c>
      <c r="E10" s="3">
        <f>SUMIF(Provstidata!$A:$A,$A10,Provstidata!$E:$E)</f>
        <v/>
      </c>
      <c r="F10" s="4">
        <f>IF(C10=0,"",D10/C10)</f>
        <v/>
      </c>
      <c r="G10" s="3">
        <f>SUMIF(Provstidata!$A:$A,$A10,Provstidata!$G:$G)</f>
        <v/>
      </c>
      <c r="H10" s="3">
        <f>SUMIF(Provstidata!$A:$A,$A10,Provstidata!$H:$H)</f>
        <v/>
      </c>
      <c r="I10" s="5">
        <f>SUMIF(Provstidata!$A:$A,$A10,Provstidata!$J:$J)</f>
        <v/>
      </c>
      <c r="J10" s="5">
        <f>SUMIF(Provstidata!$A:$A,$A10,Provstidata!$K:$K)</f>
        <v/>
      </c>
      <c r="K10" s="3">
        <f>SUMIF(Provstidata!$A:$A,$A10,Provstidata!$L:$L)</f>
        <v/>
      </c>
      <c r="L10" s="3">
        <f>SUMIF(Provstidata!$A:$A,$A10,Provstidata!$M:$M)</f>
        <v/>
      </c>
      <c r="M10" s="3">
        <f>SUMIF(Provstidata!$A:$A,$A10,Provstidata!$N:$N)</f>
        <v/>
      </c>
      <c r="N10" s="3">
        <f>SUMIF(Provstidata!$A:$A,$A10,Provstidata!$O:$O)</f>
        <v/>
      </c>
      <c r="O10" s="3">
        <f>SUMIF(Provstidata!$A:$A,$A10,Provstidata!$P:$P)</f>
        <v/>
      </c>
      <c r="P10" s="3">
        <f>SUMIF(Provstidata!$A:$A,$A10,Provstidata!$R:$R)</f>
        <v/>
      </c>
      <c r="Q10" s="3">
        <f>SUMIF(Provstidata!$A:$A,$A10,Provstidata!$S:$S)</f>
        <v/>
      </c>
      <c r="R10" s="3">
        <f>SUMIF(Provstidata!$A:$A,$A10,Provstidata!$T:$T)</f>
        <v/>
      </c>
    </row>
    <row r="11">
      <c r="A11" s="2" t="inlineStr">
        <is>
          <t>Aarhus Stift</t>
        </is>
      </c>
      <c r="B11" s="2">
        <f>COUNTIF(Provstidata!$A:$A,$A11)</f>
        <v/>
      </c>
      <c r="C11" s="3">
        <f>SUMIF(Provstidata!$A:$A,$A11,Provstidata!$C:$C)</f>
        <v/>
      </c>
      <c r="D11" s="3">
        <f>SUMIF(Provstidata!$A:$A,$A11,Provstidata!$D:$D)</f>
        <v/>
      </c>
      <c r="E11" s="3">
        <f>SUMIF(Provstidata!$A:$A,$A11,Provstidata!$E:$E)</f>
        <v/>
      </c>
      <c r="F11" s="4">
        <f>IF(C11=0,"",D11/C11)</f>
        <v/>
      </c>
      <c r="G11" s="3">
        <f>SUMIF(Provstidata!$A:$A,$A11,Provstidata!$G:$G)</f>
        <v/>
      </c>
      <c r="H11" s="3">
        <f>SUMIF(Provstidata!$A:$A,$A11,Provstidata!$H:$H)</f>
        <v/>
      </c>
      <c r="I11" s="5">
        <f>SUMIF(Provstidata!$A:$A,$A11,Provstidata!$J:$J)</f>
        <v/>
      </c>
      <c r="J11" s="5">
        <f>SUMIF(Provstidata!$A:$A,$A11,Provstidata!$K:$K)</f>
        <v/>
      </c>
      <c r="K11" s="3">
        <f>SUMIF(Provstidata!$A:$A,$A11,Provstidata!$L:$L)</f>
        <v/>
      </c>
      <c r="L11" s="3">
        <f>SUMIF(Provstidata!$A:$A,$A11,Provstidata!$M:$M)</f>
        <v/>
      </c>
      <c r="M11" s="3">
        <f>SUMIF(Provstidata!$A:$A,$A11,Provstidata!$N:$N)</f>
        <v/>
      </c>
      <c r="N11" s="3">
        <f>SUMIF(Provstidata!$A:$A,$A11,Provstidata!$O:$O)</f>
        <v/>
      </c>
      <c r="O11" s="3">
        <f>SUMIF(Provstidata!$A:$A,$A11,Provstidata!$P:$P)</f>
        <v/>
      </c>
      <c r="P11" s="3">
        <f>SUMIF(Provstidata!$A:$A,$A11,Provstidata!$R:$R)</f>
        <v/>
      </c>
      <c r="Q11" s="3">
        <f>SUMIF(Provstidata!$A:$A,$A11,Provstidata!$S:$S)</f>
        <v/>
      </c>
      <c r="R11" s="3">
        <f>SUMIF(Provstidata!$A:$A,$A11,Provstidata!$T:$T)</f>
        <v/>
      </c>
    </row>
    <row r="12">
      <c r="A12" s="7" t="inlineStr">
        <is>
          <t>I alt</t>
        </is>
      </c>
      <c r="B12" s="7">
        <f>SUM(B2:B11)</f>
        <v/>
      </c>
      <c r="C12" s="8">
        <f>SUM(C2:C11)</f>
        <v/>
      </c>
      <c r="D12" s="8">
        <f>SUM(D2:D11)</f>
        <v/>
      </c>
      <c r="E12" s="8">
        <f>SUM(E2:E11)</f>
        <v/>
      </c>
      <c r="F12" s="9">
        <f>D12/C12</f>
        <v/>
      </c>
      <c r="G12" s="8">
        <f>SUM(G2:G11)</f>
        <v/>
      </c>
      <c r="H12" s="8">
        <f>SUM(H2:H11)</f>
        <v/>
      </c>
      <c r="I12" s="10">
        <f>SUM(I2:I11)</f>
        <v/>
      </c>
      <c r="J12" s="10">
        <f>SUM(J2:J11)</f>
        <v/>
      </c>
      <c r="K12" s="8">
        <f>SUM(K2:K11)</f>
        <v/>
      </c>
      <c r="L12" s="8">
        <f>SUM(L2:L11)</f>
        <v/>
      </c>
      <c r="M12" s="8">
        <f>SUM(M2:M11)</f>
        <v/>
      </c>
      <c r="N12" s="8">
        <f>SUM(N2:N11)</f>
        <v/>
      </c>
      <c r="O12" s="8">
        <f>SUM(O2:O11)</f>
        <v/>
      </c>
      <c r="P12" s="8">
        <f>SUM(P2:P11)</f>
        <v/>
      </c>
      <c r="Q12" s="8">
        <f>SUM(Q2:Q11)</f>
        <v/>
      </c>
      <c r="R12" s="8">
        <f>SUM(R2:R11)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90" customWidth="1" min="3" max="3"/>
  </cols>
  <sheetData>
    <row r="1">
      <c r="A1" s="11" t="inlineStr">
        <is>
          <t>Kontrolpunkt</t>
        </is>
      </c>
      <c r="B1" s="11" t="inlineStr">
        <is>
          <t>Resultat</t>
        </is>
      </c>
      <c r="C1" s="11" t="inlineStr">
        <is>
          <t>Bemærkning</t>
        </is>
      </c>
    </row>
    <row r="2">
      <c r="A2" s="12" t="inlineStr">
        <is>
          <t>Provstier i ny tabel</t>
        </is>
      </c>
      <c r="B2" s="12" t="n">
        <v>102</v>
      </c>
      <c r="C2" s="12" t="inlineStr">
        <is>
          <t>Forventet 102</t>
        </is>
      </c>
    </row>
    <row r="3">
      <c r="A3" s="12" t="inlineStr">
        <is>
          <t>Provstier i tidligere app-data</t>
        </is>
      </c>
      <c r="B3" s="12" t="n">
        <v>102</v>
      </c>
      <c r="C3" s="12" t="inlineStr">
        <is>
          <t>Forventet 102</t>
        </is>
      </c>
    </row>
    <row r="4">
      <c r="A4" s="12" t="inlineStr">
        <is>
          <t>Gamle provstier uden match i ny tabel</t>
        </is>
      </c>
      <c r="B4" s="12" t="n">
        <v>0</v>
      </c>
      <c r="C4" s="12" t="inlineStr">
        <is>
          <t>Ingen</t>
        </is>
      </c>
    </row>
    <row r="5">
      <c r="A5" s="12" t="inlineStr">
        <is>
          <t>Nye provstier uden match i gamle data</t>
        </is>
      </c>
      <c r="B5" s="12" t="n">
        <v>0</v>
      </c>
      <c r="C5" s="12" t="inlineStr">
        <is>
          <t>Ingen</t>
        </is>
      </c>
    </row>
    <row r="6">
      <c r="A6" s="12" t="inlineStr">
        <is>
          <t>Primær kilde anvendt</t>
        </is>
      </c>
      <c r="B6" s="12" t="inlineStr">
        <is>
          <t>Ja</t>
        </is>
      </c>
      <c r="C6" s="12" t="inlineStr">
        <is>
          <t>Ny tabel anvendt for befolkning/medlemmer/økonomi/struktur/præster inkl. LOFI</t>
        </is>
      </c>
    </row>
    <row r="7">
      <c r="A7" s="12" t="inlineStr">
        <is>
          <t>Supplerende provsti.dk-data bevaret</t>
        </is>
      </c>
      <c r="B7" s="12" t="inlineStr">
        <is>
          <t>Ja</t>
        </is>
      </c>
      <c r="C7" s="12" t="inlineStr">
        <is>
          <t>Sogne, sognepræster, overenskomstansatte og Præster i alt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18" customWidth="1" min="4" max="4"/>
    <col width="18" customWidth="1" min="5" max="5"/>
    <col width="60" customWidth="1" min="6" max="6"/>
  </cols>
  <sheetData>
    <row r="1">
      <c r="A1" s="6" t="inlineStr">
        <is>
          <t>Provsti</t>
        </is>
      </c>
      <c r="B1" s="6" t="inlineStr">
        <is>
          <t>Kolonne</t>
        </is>
      </c>
      <c r="C1" s="6" t="inlineStr">
        <is>
          <t>Tidligere app-data</t>
        </is>
      </c>
      <c r="D1" s="6" t="inlineStr">
        <is>
          <t>Ny master</t>
        </is>
      </c>
      <c r="E1" s="6" t="inlineStr">
        <is>
          <t>Forskel</t>
        </is>
      </c>
      <c r="F1" s="6" t="inlineStr">
        <is>
          <t>Bemærkning</t>
        </is>
      </c>
    </row>
    <row r="2">
      <c r="A2" s="12" t="inlineStr">
        <is>
          <t>Assens Provsti</t>
        </is>
      </c>
      <c r="B2" s="12" t="inlineStr">
        <is>
          <t>Indbyggertal</t>
        </is>
      </c>
      <c r="C2" s="13" t="n">
        <v>40170</v>
      </c>
      <c r="D2" s="13" t="n">
        <v>40053</v>
      </c>
      <c r="E2" s="13" t="n">
        <v>-117</v>
      </c>
      <c r="F2" s="12" t="inlineStr">
        <is>
          <t>Primær kilde i master er ny tabel, hvis feltet findes dér</t>
        </is>
      </c>
    </row>
    <row r="3">
      <c r="A3" s="12" t="inlineStr">
        <is>
          <t>Assens Provsti</t>
        </is>
      </c>
      <c r="B3" s="12" t="inlineStr">
        <is>
          <t>Folkekirkemedlemmer</t>
        </is>
      </c>
      <c r="C3" s="13" t="n">
        <v>32650</v>
      </c>
      <c r="D3" s="13" t="n">
        <v>32527</v>
      </c>
      <c r="E3" s="13" t="n">
        <v>-123</v>
      </c>
      <c r="F3" s="12" t="inlineStr">
        <is>
          <t>Primær kilde i master er ny tabel, hvis feltet findes dér</t>
        </is>
      </c>
    </row>
    <row r="4">
      <c r="A4" s="12" t="inlineStr">
        <is>
          <t>Assens Provsti</t>
        </is>
      </c>
      <c r="B4" s="12" t="inlineStr">
        <is>
          <t>Medlemsprocent</t>
        </is>
      </c>
      <c r="C4" s="13" t="n">
        <v>0.8129999999999999</v>
      </c>
      <c r="D4" s="13" t="n">
        <v>0.8120989688662522</v>
      </c>
      <c r="E4" s="13" t="n">
        <v>-0.0009010311337477317</v>
      </c>
      <c r="F4" s="12" t="inlineStr">
        <is>
          <t>Primær kilde i master er ny tabel, hvis feltet findes dér</t>
        </is>
      </c>
    </row>
    <row r="5">
      <c r="A5" s="12" t="inlineStr">
        <is>
          <t>Assens Provsti</t>
        </is>
      </c>
      <c r="B5" s="12" t="inlineStr">
        <is>
          <t>Menighedsråd</t>
        </is>
      </c>
      <c r="C5" s="13" t="n">
        <v>23</v>
      </c>
      <c r="D5" s="13" t="n">
        <v>22</v>
      </c>
      <c r="E5" s="13" t="n">
        <v>-1</v>
      </c>
      <c r="F5" s="12" t="inlineStr">
        <is>
          <t>Primær kilde i master er ny tabel, hvis feltet findes dér</t>
        </is>
      </c>
    </row>
    <row r="6">
      <c r="A6" s="12" t="inlineStr">
        <is>
          <t>Assens Provsti</t>
        </is>
      </c>
      <c r="B6" s="12" t="inlineStr">
        <is>
          <t>Kirker</t>
        </is>
      </c>
      <c r="C6" s="13" t="n"/>
      <c r="D6" s="13" t="n">
        <v>31</v>
      </c>
      <c r="E6" s="13" t="n"/>
      <c r="F6" s="12" t="inlineStr">
        <is>
          <t>Mangler i en af kilderne</t>
        </is>
      </c>
    </row>
    <row r="7">
      <c r="A7" s="12" t="inlineStr">
        <is>
          <t>Assens Provsti</t>
        </is>
      </c>
      <c r="B7" s="12" t="inlineStr">
        <is>
          <t>Lokal ligning t.kr.</t>
        </is>
      </c>
      <c r="C7" s="13" t="n"/>
      <c r="D7" s="13" t="n">
        <v>59205.43001972015</v>
      </c>
      <c r="E7" s="13" t="n"/>
      <c r="F7" s="12" t="inlineStr">
        <is>
          <t>Mangler i en af kilderne</t>
        </is>
      </c>
    </row>
    <row r="8">
      <c r="A8" s="12" t="inlineStr">
        <is>
          <t>Assens Provsti</t>
        </is>
      </c>
      <c r="B8" s="12" t="inlineStr">
        <is>
          <t>Maks. stiftsbidrag 1 % (t.kr.)</t>
        </is>
      </c>
      <c r="C8" s="13" t="n"/>
      <c r="D8" s="13" t="n">
        <v>592.0543001972015</v>
      </c>
      <c r="E8" s="13" t="n"/>
      <c r="F8" s="12" t="inlineStr">
        <is>
          <t>Mangler i en af kilderne</t>
        </is>
      </c>
    </row>
    <row r="9">
      <c r="A9" s="12" t="inlineStr">
        <is>
          <t>Bogense Provsti</t>
        </is>
      </c>
      <c r="B9" s="12" t="inlineStr">
        <is>
          <t>Indbyggertal</t>
        </is>
      </c>
      <c r="C9" s="13" t="n">
        <v>29426</v>
      </c>
      <c r="D9" s="13" t="n">
        <v>29392</v>
      </c>
      <c r="E9" s="13" t="n">
        <v>-34</v>
      </c>
      <c r="F9" s="12" t="inlineStr">
        <is>
          <t>Primær kilde i master er ny tabel, hvis feltet findes dér</t>
        </is>
      </c>
    </row>
    <row r="10">
      <c r="A10" s="12" t="inlineStr">
        <is>
          <t>Bogense Provsti</t>
        </is>
      </c>
      <c r="B10" s="12" t="inlineStr">
        <is>
          <t>Folkekirkemedlemmer</t>
        </is>
      </c>
      <c r="C10" s="13" t="n">
        <v>24103</v>
      </c>
      <c r="D10" s="13" t="n">
        <v>24016</v>
      </c>
      <c r="E10" s="13" t="n">
        <v>-87</v>
      </c>
      <c r="F10" s="12" t="inlineStr">
        <is>
          <t>Primær kilde i master er ny tabel, hvis feltet findes dér</t>
        </is>
      </c>
    </row>
    <row r="11">
      <c r="A11" s="12" t="inlineStr">
        <is>
          <t>Bogense Provsti</t>
        </is>
      </c>
      <c r="B11" s="12" t="inlineStr">
        <is>
          <t>Medlemsprocent</t>
        </is>
      </c>
      <c r="C11" s="13" t="n">
        <v>0.8190000000000001</v>
      </c>
      <c r="D11" s="13" t="n">
        <v>0.8170930865541643</v>
      </c>
      <c r="E11" s="13" t="n">
        <v>-0.001906913445835712</v>
      </c>
      <c r="F11" s="12" t="inlineStr">
        <is>
          <t>Primær kilde i master er ny tabel, hvis feltet findes dér</t>
        </is>
      </c>
    </row>
    <row r="12">
      <c r="A12" s="12" t="inlineStr">
        <is>
          <t>Bogense Provsti</t>
        </is>
      </c>
      <c r="B12" s="12" t="inlineStr">
        <is>
          <t>Kirker</t>
        </is>
      </c>
      <c r="C12" s="13" t="n"/>
      <c r="D12" s="13" t="n">
        <v>30</v>
      </c>
      <c r="E12" s="13" t="n"/>
      <c r="F12" s="12" t="inlineStr">
        <is>
          <t>Mangler i en af kilderne</t>
        </is>
      </c>
    </row>
    <row r="13">
      <c r="A13" s="12" t="inlineStr">
        <is>
          <t>Bogense Provsti</t>
        </is>
      </c>
      <c r="B13" s="12" t="inlineStr">
        <is>
          <t>Lokal ligning t.kr.</t>
        </is>
      </c>
      <c r="C13" s="13" t="n"/>
      <c r="D13" s="13" t="n">
        <v>45762.20205026949</v>
      </c>
      <c r="E13" s="13" t="n"/>
      <c r="F13" s="12" t="inlineStr">
        <is>
          <t>Mangler i en af kilderne</t>
        </is>
      </c>
    </row>
    <row r="14">
      <c r="A14" s="12" t="inlineStr">
        <is>
          <t>Bogense Provsti</t>
        </is>
      </c>
      <c r="B14" s="12" t="inlineStr">
        <is>
          <t>Maks. stiftsbidrag 1 % (t.kr.)</t>
        </is>
      </c>
      <c r="C14" s="13" t="n"/>
      <c r="D14" s="13" t="n">
        <v>457.622020502695</v>
      </c>
      <c r="E14" s="13" t="n"/>
      <c r="F14" s="12" t="inlineStr">
        <is>
          <t>Mangler i en af kilderne</t>
        </is>
      </c>
    </row>
    <row r="15">
      <c r="A15" s="12" t="inlineStr">
        <is>
          <t>Fåborg Provsti</t>
        </is>
      </c>
      <c r="B15" s="12" t="inlineStr">
        <is>
          <t>Indbyggertal</t>
        </is>
      </c>
      <c r="C15" s="13" t="n">
        <v>21979</v>
      </c>
      <c r="D15" s="13" t="n">
        <v>21957</v>
      </c>
      <c r="E15" s="13" t="n">
        <v>-22</v>
      </c>
      <c r="F15" s="12" t="inlineStr">
        <is>
          <t>Primær kilde i master er ny tabel, hvis feltet findes dér</t>
        </is>
      </c>
    </row>
    <row r="16">
      <c r="A16" s="12" t="inlineStr">
        <is>
          <t>Fåborg Provsti</t>
        </is>
      </c>
      <c r="B16" s="12" t="inlineStr">
        <is>
          <t>Folkekirkemedlemmer</t>
        </is>
      </c>
      <c r="C16" s="13" t="n">
        <v>17558</v>
      </c>
      <c r="D16" s="13" t="n">
        <v>17515</v>
      </c>
      <c r="E16" s="13" t="n">
        <v>-43</v>
      </c>
      <c r="F16" s="12" t="inlineStr">
        <is>
          <t>Primær kilde i master er ny tabel, hvis feltet findes dér</t>
        </is>
      </c>
    </row>
    <row r="17">
      <c r="A17" s="12" t="inlineStr">
        <is>
          <t>Fåborg Provsti</t>
        </is>
      </c>
      <c r="B17" s="12" t="inlineStr">
        <is>
          <t>Medlemsprocent</t>
        </is>
      </c>
      <c r="C17" s="13" t="n">
        <v>0.799</v>
      </c>
      <c r="D17" s="13" t="n">
        <v>0.7976954957416769</v>
      </c>
      <c r="E17" s="13" t="n">
        <v>-0.00130450425832318</v>
      </c>
      <c r="F17" s="12" t="inlineStr">
        <is>
          <t>Primær kilde i master er ny tabel, hvis feltet findes dér</t>
        </is>
      </c>
    </row>
    <row r="18">
      <c r="A18" s="12" t="inlineStr">
        <is>
          <t>Fåborg Provsti</t>
        </is>
      </c>
      <c r="B18" s="12" t="inlineStr">
        <is>
          <t>Kirker</t>
        </is>
      </c>
      <c r="C18" s="13" t="n"/>
      <c r="D18" s="13" t="n">
        <v>20</v>
      </c>
      <c r="E18" s="13" t="n"/>
      <c r="F18" s="12" t="inlineStr">
        <is>
          <t>Mangler i en af kilderne</t>
        </is>
      </c>
    </row>
    <row r="19">
      <c r="A19" s="12" t="inlineStr">
        <is>
          <t>Fåborg Provsti</t>
        </is>
      </c>
      <c r="B19" s="12" t="inlineStr">
        <is>
          <t>Lokal ligning t.kr.</t>
        </is>
      </c>
      <c r="C19" s="13" t="n"/>
      <c r="D19" s="13" t="n">
        <v>76840.25881204578</v>
      </c>
      <c r="E19" s="13" t="n"/>
      <c r="F19" s="12" t="inlineStr">
        <is>
          <t>Mangler i en af kilderne</t>
        </is>
      </c>
    </row>
    <row r="20">
      <c r="A20" s="12" t="inlineStr">
        <is>
          <t>Fåborg Provsti</t>
        </is>
      </c>
      <c r="B20" s="12" t="inlineStr">
        <is>
          <t>Maks. stiftsbidrag 1 % (t.kr.)</t>
        </is>
      </c>
      <c r="C20" s="13" t="n"/>
      <c r="D20" s="13" t="n">
        <v>768.4025881204578</v>
      </c>
      <c r="E20" s="13" t="n"/>
      <c r="F20" s="12" t="inlineStr">
        <is>
          <t>Mangler i en af kilderne</t>
        </is>
      </c>
    </row>
    <row r="21">
      <c r="A21" s="12" t="inlineStr">
        <is>
          <t>Hjallese Provsti</t>
        </is>
      </c>
      <c r="B21" s="12" t="inlineStr">
        <is>
          <t>Indbyggertal</t>
        </is>
      </c>
      <c r="C21" s="13" t="n">
        <v>104443</v>
      </c>
      <c r="D21" s="13" t="n">
        <v>104714</v>
      </c>
      <c r="E21" s="13" t="n">
        <v>271</v>
      </c>
      <c r="F21" s="12" t="inlineStr">
        <is>
          <t>Primær kilde i master er ny tabel, hvis feltet findes dér</t>
        </is>
      </c>
    </row>
    <row r="22">
      <c r="A22" s="12" t="inlineStr">
        <is>
          <t>Hjallese Provsti</t>
        </is>
      </c>
      <c r="B22" s="12" t="inlineStr">
        <is>
          <t>Folkekirkemedlemmer</t>
        </is>
      </c>
      <c r="C22" s="13" t="n">
        <v>79221</v>
      </c>
      <c r="D22" s="13" t="n">
        <v>79163</v>
      </c>
      <c r="E22" s="13" t="n">
        <v>-58</v>
      </c>
      <c r="F22" s="12" t="inlineStr">
        <is>
          <t>Primær kilde i master er ny tabel, hvis feltet findes dér</t>
        </is>
      </c>
    </row>
    <row r="23">
      <c r="A23" s="12" t="inlineStr">
        <is>
          <t>Hjallese Provsti</t>
        </is>
      </c>
      <c r="B23" s="12" t="inlineStr">
        <is>
          <t>Medlemsprocent</t>
        </is>
      </c>
      <c r="C23" s="13" t="n">
        <v>0.759</v>
      </c>
      <c r="D23" s="13" t="n">
        <v>0.755992512940008</v>
      </c>
      <c r="E23" s="13" t="n">
        <v>-0.003007487059991987</v>
      </c>
      <c r="F23" s="12" t="inlineStr">
        <is>
          <t>Primær kilde i master er ny tabel, hvis feltet findes dér</t>
        </is>
      </c>
    </row>
    <row r="24">
      <c r="A24" s="12" t="inlineStr">
        <is>
          <t>Hjallese Provsti</t>
        </is>
      </c>
      <c r="B24" s="12" t="inlineStr">
        <is>
          <t>Kirker</t>
        </is>
      </c>
      <c r="C24" s="13" t="n"/>
      <c r="D24" s="13" t="n">
        <v>27</v>
      </c>
      <c r="E24" s="13" t="n"/>
      <c r="F24" s="12" t="inlineStr">
        <is>
          <t>Mangler i en af kilderne</t>
        </is>
      </c>
    </row>
    <row r="25">
      <c r="A25" s="12" t="inlineStr">
        <is>
          <t>Hjallese Provsti</t>
        </is>
      </c>
      <c r="B25" s="12" t="inlineStr">
        <is>
          <t>Maks. stiftsbidrag 1 % (t.kr.)</t>
        </is>
      </c>
      <c r="C25" s="13" t="n"/>
      <c r="D25" s="13" t="n">
        <v>0</v>
      </c>
      <c r="E25" s="13" t="n"/>
      <c r="F25" s="12" t="inlineStr">
        <is>
          <t>Mangler i en af kilderne</t>
        </is>
      </c>
    </row>
    <row r="26">
      <c r="A26" s="12" t="inlineStr">
        <is>
          <t>Kerteminde-Nyborg Provsti</t>
        </is>
      </c>
      <c r="B26" s="12" t="inlineStr">
        <is>
          <t>Indbyggertal</t>
        </is>
      </c>
      <c r="C26" s="13" t="n">
        <v>56700</v>
      </c>
      <c r="D26" s="13" t="n">
        <v>56771</v>
      </c>
      <c r="E26" s="13" t="n">
        <v>71</v>
      </c>
      <c r="F26" s="12" t="inlineStr">
        <is>
          <t>Primær kilde i master er ny tabel, hvis feltet findes dér</t>
        </is>
      </c>
    </row>
    <row r="27">
      <c r="A27" s="12" t="inlineStr">
        <is>
          <t>Kerteminde-Nyborg Provsti</t>
        </is>
      </c>
      <c r="B27" s="12" t="inlineStr">
        <is>
          <t>Folkekirkemedlemmer</t>
        </is>
      </c>
      <c r="C27" s="13" t="n">
        <v>44466</v>
      </c>
      <c r="D27" s="13" t="n">
        <v>44413</v>
      </c>
      <c r="E27" s="13" t="n">
        <v>-53</v>
      </c>
      <c r="F27" s="12" t="inlineStr">
        <is>
          <t>Primær kilde i master er ny tabel, hvis feltet findes dér</t>
        </is>
      </c>
    </row>
    <row r="28">
      <c r="A28" s="12" t="inlineStr">
        <is>
          <t>Kerteminde-Nyborg Provsti</t>
        </is>
      </c>
      <c r="B28" s="12" t="inlineStr">
        <is>
          <t>Medlemsprocent</t>
        </is>
      </c>
      <c r="C28" s="13" t="n">
        <v>0.784</v>
      </c>
      <c r="D28" s="13" t="n">
        <v>0.7823184372302761</v>
      </c>
      <c r="E28" s="13" t="n">
        <v>-0.001681562769723977</v>
      </c>
      <c r="F28" s="12" t="inlineStr">
        <is>
          <t>Primær kilde i master er ny tabel, hvis feltet findes dér</t>
        </is>
      </c>
    </row>
    <row r="29">
      <c r="A29" s="12" t="inlineStr">
        <is>
          <t>Kerteminde-Nyborg Provsti</t>
        </is>
      </c>
      <c r="B29" s="12" t="inlineStr">
        <is>
          <t>Menighedsråd</t>
        </is>
      </c>
      <c r="C29" s="13" t="n">
        <v>19</v>
      </c>
      <c r="D29" s="13" t="n">
        <v>18</v>
      </c>
      <c r="E29" s="13" t="n">
        <v>-1</v>
      </c>
      <c r="F29" s="12" t="inlineStr">
        <is>
          <t>Primær kilde i master er ny tabel, hvis feltet findes dér</t>
        </is>
      </c>
    </row>
    <row r="30">
      <c r="A30" s="12" t="inlineStr">
        <is>
          <t>Kerteminde-Nyborg Provsti</t>
        </is>
      </c>
      <c r="B30" s="12" t="inlineStr">
        <is>
          <t>Kirker</t>
        </is>
      </c>
      <c r="C30" s="13" t="n"/>
      <c r="D30" s="13" t="n">
        <v>39</v>
      </c>
      <c r="E30" s="13" t="n"/>
      <c r="F30" s="12" t="inlineStr">
        <is>
          <t>Mangler i en af kilderne</t>
        </is>
      </c>
    </row>
    <row r="31">
      <c r="A31" s="12" t="inlineStr">
        <is>
          <t>Kerteminde-Nyborg Provsti</t>
        </is>
      </c>
      <c r="B31" s="12" t="inlineStr">
        <is>
          <t>Lokal ligning t.kr.</t>
        </is>
      </c>
      <c r="C31" s="13" t="n"/>
      <c r="D31" s="13" t="n">
        <v>81248.87231017243</v>
      </c>
      <c r="E31" s="13" t="n"/>
      <c r="F31" s="12" t="inlineStr">
        <is>
          <t>Mangler i en af kilderne</t>
        </is>
      </c>
    </row>
    <row r="32">
      <c r="A32" s="12" t="inlineStr">
        <is>
          <t>Kerteminde-Nyborg Provsti</t>
        </is>
      </c>
      <c r="B32" s="12" t="inlineStr">
        <is>
          <t>Maks. stiftsbidrag 1 % (t.kr.)</t>
        </is>
      </c>
      <c r="C32" s="13" t="n"/>
      <c r="D32" s="13" t="n">
        <v>812.4887231017244</v>
      </c>
      <c r="E32" s="13" t="n"/>
      <c r="F32" s="12" t="inlineStr">
        <is>
          <t>Mangler i en af kilderne</t>
        </is>
      </c>
    </row>
    <row r="33">
      <c r="A33" s="12" t="inlineStr">
        <is>
          <t>Langeland-Ærø Provsti</t>
        </is>
      </c>
      <c r="B33" s="12" t="inlineStr">
        <is>
          <t>Indbyggertal</t>
        </is>
      </c>
      <c r="C33" s="13" t="n">
        <v>17607</v>
      </c>
      <c r="D33" s="13" t="n">
        <v>17556</v>
      </c>
      <c r="E33" s="13" t="n">
        <v>-51</v>
      </c>
      <c r="F33" s="12" t="inlineStr">
        <is>
          <t>Primær kilde i master er ny tabel, hvis feltet findes dér</t>
        </is>
      </c>
    </row>
    <row r="34">
      <c r="A34" s="12" t="inlineStr">
        <is>
          <t>Langeland-Ærø Provsti</t>
        </is>
      </c>
      <c r="B34" s="12" t="inlineStr">
        <is>
          <t>Folkekirkemedlemmer</t>
        </is>
      </c>
      <c r="C34" s="13" t="n">
        <v>13839</v>
      </c>
      <c r="D34" s="13" t="n">
        <v>13767</v>
      </c>
      <c r="E34" s="13" t="n">
        <v>-72</v>
      </c>
      <c r="F34" s="12" t="inlineStr">
        <is>
          <t>Primær kilde i master er ny tabel, hvis feltet findes dér</t>
        </is>
      </c>
    </row>
    <row r="35">
      <c r="A35" s="12" t="inlineStr">
        <is>
          <t>Langeland-Ærø Provsti</t>
        </is>
      </c>
      <c r="B35" s="12" t="inlineStr">
        <is>
          <t>Medlemsprocent</t>
        </is>
      </c>
      <c r="C35" s="13" t="n">
        <v>0.7859999999999999</v>
      </c>
      <c r="D35" s="13" t="n">
        <v>0.7841763499658236</v>
      </c>
      <c r="E35" s="13" t="n">
        <v>-0.001823650034176283</v>
      </c>
      <c r="F35" s="12" t="inlineStr">
        <is>
          <t>Primær kilde i master er ny tabel, hvis feltet findes dér</t>
        </is>
      </c>
    </row>
    <row r="36">
      <c r="A36" s="12" t="inlineStr">
        <is>
          <t>Langeland-Ærø Provsti</t>
        </is>
      </c>
      <c r="B36" s="12" t="inlineStr">
        <is>
          <t>Kirker</t>
        </is>
      </c>
      <c r="C36" s="13" t="n"/>
      <c r="D36" s="13" t="n">
        <v>30</v>
      </c>
      <c r="E36" s="13" t="n"/>
      <c r="F36" s="12" t="inlineStr">
        <is>
          <t>Mangler i en af kilderne</t>
        </is>
      </c>
    </row>
    <row r="37">
      <c r="A37" s="12" t="inlineStr">
        <is>
          <t>Langeland-Ærø Provsti</t>
        </is>
      </c>
      <c r="B37" s="12" t="inlineStr">
        <is>
          <t>Lokal ligning t.kr.</t>
        </is>
      </c>
      <c r="C37" s="13" t="n"/>
      <c r="D37" s="13" t="n">
        <v>28842.80005923747</v>
      </c>
      <c r="E37" s="13" t="n"/>
      <c r="F37" s="12" t="inlineStr">
        <is>
          <t>Mangler i en af kilderne</t>
        </is>
      </c>
    </row>
    <row r="38">
      <c r="A38" s="12" t="inlineStr">
        <is>
          <t>Langeland-Ærø Provsti</t>
        </is>
      </c>
      <c r="B38" s="12" t="inlineStr">
        <is>
          <t>Maks. stiftsbidrag 1 % (t.kr.)</t>
        </is>
      </c>
      <c r="C38" s="13" t="n"/>
      <c r="D38" s="13" t="n">
        <v>288.4280005923746</v>
      </c>
      <c r="E38" s="13" t="n"/>
      <c r="F38" s="12" t="inlineStr">
        <is>
          <t>Mangler i en af kilderne</t>
        </is>
      </c>
    </row>
    <row r="39">
      <c r="A39" s="12" t="inlineStr">
        <is>
          <t>Middelfart Provsti</t>
        </is>
      </c>
      <c r="B39" s="12" t="inlineStr">
        <is>
          <t>Indbyggertal</t>
        </is>
      </c>
      <c r="C39" s="13" t="n">
        <v>40577</v>
      </c>
      <c r="D39" s="13" t="n">
        <v>40606</v>
      </c>
      <c r="E39" s="13" t="n">
        <v>29</v>
      </c>
      <c r="F39" s="12" t="inlineStr">
        <is>
          <t>Primær kilde i master er ny tabel, hvis feltet findes dér</t>
        </is>
      </c>
    </row>
    <row r="40">
      <c r="A40" s="12" t="inlineStr">
        <is>
          <t>Middelfart Provsti</t>
        </is>
      </c>
      <c r="B40" s="12" t="inlineStr">
        <is>
          <t>Folkekirkemedlemmer</t>
        </is>
      </c>
      <c r="C40" s="13" t="n">
        <v>33142</v>
      </c>
      <c r="D40" s="13" t="n">
        <v>33146</v>
      </c>
      <c r="E40" s="13" t="n">
        <v>4</v>
      </c>
      <c r="F40" s="12" t="inlineStr">
        <is>
          <t>Primær kilde i master er ny tabel, hvis feltet findes dér</t>
        </is>
      </c>
    </row>
    <row r="41">
      <c r="A41" s="12" t="inlineStr">
        <is>
          <t>Middelfart Provsti</t>
        </is>
      </c>
      <c r="B41" s="12" t="inlineStr">
        <is>
          <t>Medlemsprocent</t>
        </is>
      </c>
      <c r="C41" s="13" t="n">
        <v>0.8170000000000001</v>
      </c>
      <c r="D41" s="13" t="n">
        <v>0.8162833078855342</v>
      </c>
      <c r="E41" s="13" t="n">
        <v>-0.0007166921144659</v>
      </c>
      <c r="F41" s="12" t="inlineStr">
        <is>
          <t>Primær kilde i master er ny tabel, hvis feltet findes dér</t>
        </is>
      </c>
    </row>
    <row r="42">
      <c r="A42" s="12" t="inlineStr">
        <is>
          <t>Middelfart Provsti</t>
        </is>
      </c>
      <c r="B42" s="12" t="inlineStr">
        <is>
          <t>Kirker</t>
        </is>
      </c>
      <c r="C42" s="13" t="n"/>
      <c r="D42" s="13" t="n">
        <v>24</v>
      </c>
      <c r="E42" s="13" t="n"/>
      <c r="F42" s="12" t="inlineStr">
        <is>
          <t>Mangler i en af kilderne</t>
        </is>
      </c>
    </row>
    <row r="43">
      <c r="A43" s="12" t="inlineStr">
        <is>
          <t>Middelfart Provsti</t>
        </is>
      </c>
      <c r="B43" s="12" t="inlineStr">
        <is>
          <t>Lokal ligning t.kr.</t>
        </is>
      </c>
      <c r="C43" s="13" t="n"/>
      <c r="D43" s="13" t="n">
        <v>58156.08534321634</v>
      </c>
      <c r="E43" s="13" t="n"/>
      <c r="F43" s="12" t="inlineStr">
        <is>
          <t>Mangler i en af kilderne</t>
        </is>
      </c>
    </row>
    <row r="44">
      <c r="A44" s="12" t="inlineStr">
        <is>
          <t>Middelfart Provsti</t>
        </is>
      </c>
      <c r="B44" s="12" t="inlineStr">
        <is>
          <t>Maks. stiftsbidrag 1 % (t.kr.)</t>
        </is>
      </c>
      <c r="C44" s="13" t="n"/>
      <c r="D44" s="13" t="n">
        <v>581.5608534321635</v>
      </c>
      <c r="E44" s="13" t="n"/>
      <c r="F44" s="12" t="inlineStr">
        <is>
          <t>Mangler i en af kilderne</t>
        </is>
      </c>
    </row>
    <row r="45">
      <c r="A45" s="12" t="inlineStr">
        <is>
          <t>Midtfyn Provsti</t>
        </is>
      </c>
      <c r="B45" s="12" t="inlineStr">
        <is>
          <t>Indbyggertal</t>
        </is>
      </c>
      <c r="C45" s="13" t="n">
        <v>30349</v>
      </c>
      <c r="D45" s="13" t="n">
        <v>30316</v>
      </c>
      <c r="E45" s="13" t="n">
        <v>-33</v>
      </c>
      <c r="F45" s="12" t="inlineStr">
        <is>
          <t>Primær kilde i master er ny tabel, hvis feltet findes dér</t>
        </is>
      </c>
    </row>
    <row r="46">
      <c r="A46" s="12" t="inlineStr">
        <is>
          <t>Midtfyn Provsti</t>
        </is>
      </c>
      <c r="B46" s="12" t="inlineStr">
        <is>
          <t>Folkekirkemedlemmer</t>
        </is>
      </c>
      <c r="C46" s="13" t="n">
        <v>24501</v>
      </c>
      <c r="D46" s="13" t="n">
        <v>24467</v>
      </c>
      <c r="E46" s="13" t="n">
        <v>-34</v>
      </c>
      <c r="F46" s="12" t="inlineStr">
        <is>
          <t>Primær kilde i master er ny tabel, hvis feltet findes dér</t>
        </is>
      </c>
    </row>
    <row r="47">
      <c r="A47" s="12" t="inlineStr">
        <is>
          <t>Midtfyn Provsti</t>
        </is>
      </c>
      <c r="B47" s="12" t="inlineStr">
        <is>
          <t>Kirker</t>
        </is>
      </c>
      <c r="C47" s="13" t="n"/>
      <c r="D47" s="13" t="n">
        <v>23</v>
      </c>
      <c r="E47" s="13" t="n"/>
      <c r="F47" s="12" t="inlineStr">
        <is>
          <t>Mangler i en af kilderne</t>
        </is>
      </c>
    </row>
    <row r="48">
      <c r="A48" s="12" t="inlineStr">
        <is>
          <t>Midtfyn Provsti</t>
        </is>
      </c>
      <c r="B48" s="12" t="inlineStr">
        <is>
          <t>Maks. stiftsbidrag 1 % (t.kr.)</t>
        </is>
      </c>
      <c r="C48" s="13" t="n"/>
      <c r="D48" s="13" t="n">
        <v>0</v>
      </c>
      <c r="E48" s="13" t="n"/>
      <c r="F48" s="12" t="inlineStr">
        <is>
          <t>Mangler i en af kilderne</t>
        </is>
      </c>
    </row>
    <row r="49">
      <c r="A49" s="12" t="inlineStr">
        <is>
          <t>Odense Sankt Knuds Provsti</t>
        </is>
      </c>
      <c r="B49" s="12" t="inlineStr">
        <is>
          <t>Indbyggertal</t>
        </is>
      </c>
      <c r="C49" s="13" t="n">
        <v>108725</v>
      </c>
      <c r="D49" s="13" t="n">
        <v>108717</v>
      </c>
      <c r="E49" s="13" t="n">
        <v>-8</v>
      </c>
      <c r="F49" s="12" t="inlineStr">
        <is>
          <t>Primær kilde i master er ny tabel, hvis feltet findes dér</t>
        </is>
      </c>
    </row>
    <row r="50">
      <c r="A50" s="12" t="inlineStr">
        <is>
          <t>Odense Sankt Knuds Provsti</t>
        </is>
      </c>
      <c r="B50" s="12" t="inlineStr">
        <is>
          <t>Folkekirkemedlemmer</t>
        </is>
      </c>
      <c r="C50" s="13" t="n">
        <v>70112</v>
      </c>
      <c r="D50" s="13" t="n">
        <v>70051</v>
      </c>
      <c r="E50" s="13" t="n">
        <v>-61</v>
      </c>
      <c r="F50" s="12" t="inlineStr">
        <is>
          <t>Primær kilde i master er ny tabel, hvis feltet findes dér</t>
        </is>
      </c>
    </row>
    <row r="51">
      <c r="A51" s="12" t="inlineStr">
        <is>
          <t>Odense Sankt Knuds Provsti</t>
        </is>
      </c>
      <c r="B51" s="12" t="inlineStr">
        <is>
          <t>Medlemsprocent</t>
        </is>
      </c>
      <c r="C51" s="13" t="n">
        <v>0.645</v>
      </c>
      <c r="D51" s="13" t="n">
        <v>0.6443426511033233</v>
      </c>
      <c r="E51" s="13" t="n">
        <v>-0.0006573488966766794</v>
      </c>
      <c r="F51" s="12" t="inlineStr">
        <is>
          <t>Primær kilde i master er ny tabel, hvis feltet findes dér</t>
        </is>
      </c>
    </row>
    <row r="52">
      <c r="A52" s="12" t="inlineStr">
        <is>
          <t>Odense Sankt Knuds Provsti</t>
        </is>
      </c>
      <c r="B52" s="12" t="inlineStr">
        <is>
          <t>Kirker</t>
        </is>
      </c>
      <c r="C52" s="13" t="n"/>
      <c r="D52" s="13" t="n">
        <v>17</v>
      </c>
      <c r="E52" s="13" t="n"/>
      <c r="F52" s="12" t="inlineStr">
        <is>
          <t>Mangler i en af kilderne</t>
        </is>
      </c>
    </row>
    <row r="53">
      <c r="A53" s="12" t="inlineStr">
        <is>
          <t>Odense Sankt Knuds Provsti</t>
        </is>
      </c>
      <c r="B53" s="12" t="inlineStr">
        <is>
          <t>Lokal ligning t.kr.</t>
        </is>
      </c>
      <c r="C53" s="13" t="n"/>
      <c r="D53" s="13" t="n">
        <v>174147.8589225151</v>
      </c>
      <c r="E53" s="13" t="n"/>
      <c r="F53" s="12" t="inlineStr">
        <is>
          <t>Mangler i en af kilderne</t>
        </is>
      </c>
    </row>
    <row r="54">
      <c r="A54" s="12" t="inlineStr">
        <is>
          <t>Odense Sankt Knuds Provsti</t>
        </is>
      </c>
      <c r="B54" s="12" t="inlineStr">
        <is>
          <t>Maks. stiftsbidrag 1 % (t.kr.)</t>
        </is>
      </c>
      <c r="C54" s="13" t="n"/>
      <c r="D54" s="13" t="n">
        <v>1741.478589225151</v>
      </c>
      <c r="E54" s="13" t="n"/>
      <c r="F54" s="12" t="inlineStr">
        <is>
          <t>Mangler i en af kilderne</t>
        </is>
      </c>
    </row>
    <row r="55">
      <c r="A55" s="12" t="inlineStr">
        <is>
          <t>Svendborg Provsti</t>
        </is>
      </c>
      <c r="B55" s="12" t="inlineStr">
        <is>
          <t>Indbyggertal</t>
        </is>
      </c>
      <c r="C55" s="13" t="n">
        <v>60027</v>
      </c>
      <c r="D55" s="13" t="n">
        <v>60064</v>
      </c>
      <c r="E55" s="13" t="n">
        <v>37</v>
      </c>
      <c r="F55" s="12" t="inlineStr">
        <is>
          <t>Primær kilde i master er ny tabel, hvis feltet findes dér</t>
        </is>
      </c>
    </row>
    <row r="56">
      <c r="A56" s="12" t="inlineStr">
        <is>
          <t>Svendborg Provsti</t>
        </is>
      </c>
      <c r="B56" s="12" t="inlineStr">
        <is>
          <t>Folkekirkemedlemmer</t>
        </is>
      </c>
      <c r="C56" s="13" t="n">
        <v>45486</v>
      </c>
      <c r="D56" s="13" t="n">
        <v>45484</v>
      </c>
      <c r="E56" s="13" t="n">
        <v>-2</v>
      </c>
      <c r="F56" s="12" t="inlineStr">
        <is>
          <t>Primær kilde i master er ny tabel, hvis feltet findes dér</t>
        </is>
      </c>
    </row>
    <row r="57">
      <c r="A57" s="12" t="inlineStr">
        <is>
          <t>Svendborg Provsti</t>
        </is>
      </c>
      <c r="B57" s="12" t="inlineStr">
        <is>
          <t>Medlemsprocent</t>
        </is>
      </c>
      <c r="C57" s="13" t="n">
        <v>0.758</v>
      </c>
      <c r="D57" s="13" t="n">
        <v>0.7572589238145978</v>
      </c>
      <c r="E57" s="13" t="n">
        <v>-0.0007410761854022008</v>
      </c>
      <c r="F57" s="12" t="inlineStr">
        <is>
          <t>Primær kilde i master er ny tabel, hvis feltet findes dér</t>
        </is>
      </c>
    </row>
    <row r="58">
      <c r="A58" s="12" t="inlineStr">
        <is>
          <t>Svendborg Provsti</t>
        </is>
      </c>
      <c r="B58" s="12" t="inlineStr">
        <is>
          <t>Kirker</t>
        </is>
      </c>
      <c r="C58" s="13" t="n"/>
      <c r="D58" s="13" t="n">
        <v>34</v>
      </c>
      <c r="E58" s="13" t="n"/>
      <c r="F58" s="12" t="inlineStr">
        <is>
          <t>Mangler i en af kilderne</t>
        </is>
      </c>
    </row>
    <row r="59">
      <c r="A59" s="12" t="inlineStr">
        <is>
          <t>Svendborg Provsti</t>
        </is>
      </c>
      <c r="B59" s="12" t="inlineStr">
        <is>
          <t>Lokal ligning t.kr.</t>
        </is>
      </c>
      <c r="C59" s="13" t="n"/>
      <c r="D59" s="13" t="n">
        <v>84114.0124079595</v>
      </c>
      <c r="E59" s="13" t="n"/>
      <c r="F59" s="12" t="inlineStr">
        <is>
          <t>Mangler i en af kilderne</t>
        </is>
      </c>
    </row>
    <row r="60">
      <c r="A60" s="12" t="inlineStr">
        <is>
          <t>Svendborg Provsti</t>
        </is>
      </c>
      <c r="B60" s="12" t="inlineStr">
        <is>
          <t>Maks. stiftsbidrag 1 % (t.kr.)</t>
        </is>
      </c>
      <c r="C60" s="13" t="n"/>
      <c r="D60" s="13" t="n">
        <v>841.140124079595</v>
      </c>
      <c r="E60" s="13" t="n"/>
      <c r="F60" s="12" t="inlineStr">
        <is>
          <t>Mangler i en af kilderne</t>
        </is>
      </c>
    </row>
    <row r="61">
      <c r="A61" s="12" t="inlineStr">
        <is>
          <t>Fredericia Provsti</t>
        </is>
      </c>
      <c r="B61" s="12" t="inlineStr">
        <is>
          <t>Indbyggertal</t>
        </is>
      </c>
      <c r="C61" s="13" t="n">
        <v>52939</v>
      </c>
      <c r="D61" s="13" t="n">
        <v>52920</v>
      </c>
      <c r="E61" s="13" t="n">
        <v>-19</v>
      </c>
      <c r="F61" s="12" t="inlineStr">
        <is>
          <t>Primær kilde i master er ny tabel, hvis feltet findes dér</t>
        </is>
      </c>
    </row>
    <row r="62">
      <c r="A62" s="12" t="inlineStr">
        <is>
          <t>Fredericia Provsti</t>
        </is>
      </c>
      <c r="B62" s="12" t="inlineStr">
        <is>
          <t>Folkekirkemedlemmer</t>
        </is>
      </c>
      <c r="C62" s="13" t="n">
        <v>39494</v>
      </c>
      <c r="D62" s="13" t="n">
        <v>39397</v>
      </c>
      <c r="E62" s="13" t="n">
        <v>-97</v>
      </c>
      <c r="F62" s="12" t="inlineStr">
        <is>
          <t>Primær kilde i master er ny tabel, hvis feltet findes dér</t>
        </is>
      </c>
    </row>
    <row r="63">
      <c r="A63" s="12" t="inlineStr">
        <is>
          <t>Fredericia Provsti</t>
        </is>
      </c>
      <c r="B63" s="12" t="inlineStr">
        <is>
          <t>Medlemsprocent</t>
        </is>
      </c>
      <c r="C63" s="13" t="n">
        <v>0.746</v>
      </c>
      <c r="D63" s="13" t="n">
        <v>0.7444633408919124</v>
      </c>
      <c r="E63" s="13" t="n">
        <v>-0.001536659108087646</v>
      </c>
      <c r="F63" s="12" t="inlineStr">
        <is>
          <t>Primær kilde i master er ny tabel, hvis feltet findes dér</t>
        </is>
      </c>
    </row>
    <row r="64">
      <c r="A64" s="12" t="inlineStr">
        <is>
          <t>Fredericia Provsti</t>
        </is>
      </c>
      <c r="B64" s="12" t="inlineStr">
        <is>
          <t>Kirker</t>
        </is>
      </c>
      <c r="C64" s="13" t="n"/>
      <c r="D64" s="13" t="n">
        <v>14</v>
      </c>
      <c r="E64" s="13" t="n"/>
      <c r="F64" s="12" t="inlineStr">
        <is>
          <t>Mangler i en af kilderne</t>
        </is>
      </c>
    </row>
    <row r="65">
      <c r="A65" s="12" t="inlineStr">
        <is>
          <t>Fredericia Provsti</t>
        </is>
      </c>
      <c r="B65" s="12" t="inlineStr">
        <is>
          <t>Lokal ligning t.kr.</t>
        </is>
      </c>
      <c r="C65" s="13" t="n"/>
      <c r="D65" s="13" t="n">
        <v>67414.74768791311</v>
      </c>
      <c r="E65" s="13" t="n"/>
      <c r="F65" s="12" t="inlineStr">
        <is>
          <t>Mangler i en af kilderne</t>
        </is>
      </c>
    </row>
    <row r="66">
      <c r="A66" s="12" t="inlineStr">
        <is>
          <t>Fredericia Provsti</t>
        </is>
      </c>
      <c r="B66" s="12" t="inlineStr">
        <is>
          <t>Maks. stiftsbidrag 1 % (t.kr.)</t>
        </is>
      </c>
      <c r="C66" s="13" t="n"/>
      <c r="D66" s="13" t="n">
        <v>674.1474768791312</v>
      </c>
      <c r="E66" s="13" t="n"/>
      <c r="F66" s="12" t="inlineStr">
        <is>
          <t>Mangler i en af kilderne</t>
        </is>
      </c>
    </row>
    <row r="67">
      <c r="A67" s="12" t="inlineStr">
        <is>
          <t>Haderslev Domprovsti</t>
        </is>
      </c>
      <c r="B67" s="12" t="inlineStr">
        <is>
          <t>Indbyggertal</t>
        </is>
      </c>
      <c r="C67" s="13" t="n">
        <v>55148</v>
      </c>
      <c r="D67" s="13" t="n">
        <v>55128</v>
      </c>
      <c r="E67" s="13" t="n">
        <v>-20</v>
      </c>
      <c r="F67" s="12" t="inlineStr">
        <is>
          <t>Primær kilde i master er ny tabel, hvis feltet findes dér</t>
        </is>
      </c>
    </row>
    <row r="68">
      <c r="A68" s="12" t="inlineStr">
        <is>
          <t>Haderslev Domprovsti</t>
        </is>
      </c>
      <c r="B68" s="12" t="inlineStr">
        <is>
          <t>Folkekirkemedlemmer</t>
        </is>
      </c>
      <c r="C68" s="13" t="n">
        <v>43066</v>
      </c>
      <c r="D68" s="13" t="n">
        <v>42941</v>
      </c>
      <c r="E68" s="13" t="n">
        <v>-125</v>
      </c>
      <c r="F68" s="12" t="inlineStr">
        <is>
          <t>Primær kilde i master er ny tabel, hvis feltet findes dér</t>
        </is>
      </c>
    </row>
    <row r="69">
      <c r="A69" s="12" t="inlineStr">
        <is>
          <t>Haderslev Domprovsti</t>
        </is>
      </c>
      <c r="B69" s="12" t="inlineStr">
        <is>
          <t>Medlemsprocent</t>
        </is>
      </c>
      <c r="C69" s="13" t="n">
        <v>0.7809999999999999</v>
      </c>
      <c r="D69" s="13" t="n">
        <v>0.7789326657959658</v>
      </c>
      <c r="E69" s="13" t="n">
        <v>-0.002067334204034155</v>
      </c>
      <c r="F69" s="12" t="inlineStr">
        <is>
          <t>Primær kilde i master er ny tabel, hvis feltet findes dér</t>
        </is>
      </c>
    </row>
    <row r="70">
      <c r="A70" s="12" t="inlineStr">
        <is>
          <t>Haderslev Domprovsti</t>
        </is>
      </c>
      <c r="B70" s="12" t="inlineStr">
        <is>
          <t>Kirker</t>
        </is>
      </c>
      <c r="C70" s="13" t="n"/>
      <c r="D70" s="13" t="n">
        <v>32</v>
      </c>
      <c r="E70" s="13" t="n"/>
      <c r="F70" s="12" t="inlineStr">
        <is>
          <t>Mangler i en af kilderne</t>
        </is>
      </c>
    </row>
    <row r="71">
      <c r="A71" s="12" t="inlineStr">
        <is>
          <t>Haderslev Domprovsti</t>
        </is>
      </c>
      <c r="B71" s="12" t="inlineStr">
        <is>
          <t>Lokal ligning t.kr.</t>
        </is>
      </c>
      <c r="C71" s="13" t="n"/>
      <c r="D71" s="13" t="n">
        <v>77002.24038050565</v>
      </c>
      <c r="E71" s="13" t="n"/>
      <c r="F71" s="12" t="inlineStr">
        <is>
          <t>Mangler i en af kilderne</t>
        </is>
      </c>
    </row>
    <row r="72">
      <c r="A72" s="12" t="inlineStr">
        <is>
          <t>Haderslev Domprovsti</t>
        </is>
      </c>
      <c r="B72" s="12" t="inlineStr">
        <is>
          <t>Maks. stiftsbidrag 1 % (t.kr.)</t>
        </is>
      </c>
      <c r="C72" s="13" t="n"/>
      <c r="D72" s="13" t="n">
        <v>770.0224038050565</v>
      </c>
      <c r="E72" s="13" t="n"/>
      <c r="F72" s="12" t="inlineStr">
        <is>
          <t>Mangler i en af kilderne</t>
        </is>
      </c>
    </row>
    <row r="73">
      <c r="A73" s="12" t="inlineStr">
        <is>
          <t>Hedensted Provsti</t>
        </is>
      </c>
      <c r="B73" s="12" t="inlineStr">
        <is>
          <t>Indbyggertal</t>
        </is>
      </c>
      <c r="C73" s="13" t="n">
        <v>48411</v>
      </c>
      <c r="D73" s="13" t="n">
        <v>48584</v>
      </c>
      <c r="E73" s="13" t="n">
        <v>173</v>
      </c>
      <c r="F73" s="12" t="inlineStr">
        <is>
          <t>Primær kilde i master er ny tabel, hvis feltet findes dér</t>
        </is>
      </c>
    </row>
    <row r="74">
      <c r="A74" s="12" t="inlineStr">
        <is>
          <t>Hedensted Provsti</t>
        </is>
      </c>
      <c r="B74" s="12" t="inlineStr">
        <is>
          <t>Folkekirkemedlemmer</t>
        </is>
      </c>
      <c r="C74" s="13" t="n">
        <v>38838</v>
      </c>
      <c r="D74" s="13" t="n">
        <v>38907</v>
      </c>
      <c r="E74" s="13" t="n">
        <v>69</v>
      </c>
      <c r="F74" s="12" t="inlineStr">
        <is>
          <t>Primær kilde i master er ny tabel, hvis feltet findes dér</t>
        </is>
      </c>
    </row>
    <row r="75">
      <c r="A75" s="12" t="inlineStr">
        <is>
          <t>Hedensted Provsti</t>
        </is>
      </c>
      <c r="B75" s="12" t="inlineStr">
        <is>
          <t>Medlemsprocent</t>
        </is>
      </c>
      <c r="C75" s="13" t="n">
        <v>0.802</v>
      </c>
      <c r="D75" s="13" t="n">
        <v>0.8008191997365388</v>
      </c>
      <c r="E75" s="13" t="n">
        <v>-0.001180800263461235</v>
      </c>
      <c r="F75" s="12" t="inlineStr">
        <is>
          <t>Primær kilde i master er ny tabel, hvis feltet findes dér</t>
        </is>
      </c>
    </row>
    <row r="76">
      <c r="A76" s="12" t="inlineStr">
        <is>
          <t>Hedensted Provsti</t>
        </is>
      </c>
      <c r="B76" s="12" t="inlineStr">
        <is>
          <t>Kirker</t>
        </is>
      </c>
      <c r="C76" s="13" t="n"/>
      <c r="D76" s="13" t="n">
        <v>37</v>
      </c>
      <c r="E76" s="13" t="n"/>
      <c r="F76" s="12" t="inlineStr">
        <is>
          <t>Mangler i en af kilderne</t>
        </is>
      </c>
    </row>
    <row r="77">
      <c r="A77" s="12" t="inlineStr">
        <is>
          <t>Hedensted Provsti</t>
        </is>
      </c>
      <c r="B77" s="12" t="inlineStr">
        <is>
          <t>Lokal ligning t.kr.</t>
        </is>
      </c>
      <c r="C77" s="13" t="n"/>
      <c r="D77" s="13" t="n">
        <v>70743.2475769443</v>
      </c>
      <c r="E77" s="13" t="n"/>
      <c r="F77" s="12" t="inlineStr">
        <is>
          <t>Mangler i en af kilderne</t>
        </is>
      </c>
    </row>
    <row r="78">
      <c r="A78" s="12" t="inlineStr">
        <is>
          <t>Hedensted Provsti</t>
        </is>
      </c>
      <c r="B78" s="12" t="inlineStr">
        <is>
          <t>Maks. stiftsbidrag 1 % (t.kr.)</t>
        </is>
      </c>
      <c r="C78" s="13" t="n"/>
      <c r="D78" s="13" t="n">
        <v>707.4324757694429</v>
      </c>
      <c r="E78" s="13" t="n"/>
      <c r="F78" s="12" t="inlineStr">
        <is>
          <t>Mangler i en af kilderne</t>
        </is>
      </c>
    </row>
    <row r="79">
      <c r="A79" s="12" t="inlineStr">
        <is>
          <t>Kolding Provsti</t>
        </is>
      </c>
      <c r="B79" s="12" t="inlineStr">
        <is>
          <t>Indbyggertal</t>
        </is>
      </c>
      <c r="C79" s="13" t="n">
        <v>96293</v>
      </c>
      <c r="D79" s="13" t="n">
        <v>96295</v>
      </c>
      <c r="E79" s="13" t="n">
        <v>2</v>
      </c>
      <c r="F79" s="12" t="inlineStr">
        <is>
          <t>Primær kilde i master er ny tabel, hvis feltet findes dér</t>
        </is>
      </c>
    </row>
    <row r="80">
      <c r="A80" s="12" t="inlineStr">
        <is>
          <t>Kolding Provsti</t>
        </is>
      </c>
      <c r="B80" s="12" t="inlineStr">
        <is>
          <t>Folkekirkemedlemmer</t>
        </is>
      </c>
      <c r="C80" s="13" t="n">
        <v>71862</v>
      </c>
      <c r="D80" s="13" t="n">
        <v>71735</v>
      </c>
      <c r="E80" s="13" t="n">
        <v>-127</v>
      </c>
      <c r="F80" s="12" t="inlineStr">
        <is>
          <t>Primær kilde i master er ny tabel, hvis feltet findes dér</t>
        </is>
      </c>
    </row>
    <row r="81">
      <c r="A81" s="12" t="inlineStr">
        <is>
          <t>Kolding Provsti</t>
        </is>
      </c>
      <c r="B81" s="12" t="inlineStr">
        <is>
          <t>Medlemsprocent</t>
        </is>
      </c>
      <c r="C81" s="13" t="n">
        <v>0.746</v>
      </c>
      <c r="D81" s="13" t="n">
        <v>0.7449504127940184</v>
      </c>
      <c r="E81" s="13" t="n">
        <v>-0.001049587205981584</v>
      </c>
      <c r="F81" s="12" t="inlineStr">
        <is>
          <t>Primær kilde i master er ny tabel, hvis feltet findes dér</t>
        </is>
      </c>
    </row>
    <row r="82">
      <c r="A82" s="12" t="inlineStr">
        <is>
          <t>Kolding Provsti</t>
        </is>
      </c>
      <c r="B82" s="12" t="inlineStr">
        <is>
          <t>Kirker</t>
        </is>
      </c>
      <c r="C82" s="13" t="n"/>
      <c r="D82" s="13" t="n">
        <v>39</v>
      </c>
      <c r="E82" s="13" t="n"/>
      <c r="F82" s="12" t="inlineStr">
        <is>
          <t>Mangler i en af kilderne</t>
        </is>
      </c>
    </row>
    <row r="83">
      <c r="A83" s="12" t="inlineStr">
        <is>
          <t>Kolding Provsti</t>
        </is>
      </c>
      <c r="B83" s="12" t="inlineStr">
        <is>
          <t>Lokal ligning t.kr.</t>
        </is>
      </c>
      <c r="C83" s="13" t="n"/>
      <c r="D83" s="13" t="n">
        <v>127013.1589582053</v>
      </c>
      <c r="E83" s="13" t="n"/>
      <c r="F83" s="12" t="inlineStr">
        <is>
          <t>Mangler i en af kilderne</t>
        </is>
      </c>
    </row>
    <row r="84">
      <c r="A84" s="12" t="inlineStr">
        <is>
          <t>Kolding Provsti</t>
        </is>
      </c>
      <c r="B84" s="12" t="inlineStr">
        <is>
          <t>Maks. stiftsbidrag 1 % (t.kr.)</t>
        </is>
      </c>
      <c r="C84" s="13" t="n"/>
      <c r="D84" s="13" t="n">
        <v>1270.131589582053</v>
      </c>
      <c r="E84" s="13" t="n"/>
      <c r="F84" s="12" t="inlineStr">
        <is>
          <t>Mangler i en af kilderne</t>
        </is>
      </c>
    </row>
    <row r="85">
      <c r="A85" s="12" t="inlineStr">
        <is>
          <t>Sønderborg Provsti</t>
        </is>
      </c>
      <c r="B85" s="12" t="inlineStr">
        <is>
          <t>Indbyggertal</t>
        </is>
      </c>
      <c r="C85" s="13" t="n">
        <v>74127</v>
      </c>
      <c r="D85" s="13" t="n">
        <v>74007</v>
      </c>
      <c r="E85" s="13" t="n">
        <v>-120</v>
      </c>
      <c r="F85" s="12" t="inlineStr">
        <is>
          <t>Primær kilde i master er ny tabel, hvis feltet findes dér</t>
        </is>
      </c>
    </row>
    <row r="86">
      <c r="A86" s="12" t="inlineStr">
        <is>
          <t>Sønderborg Provsti</t>
        </is>
      </c>
      <c r="B86" s="12" t="inlineStr">
        <is>
          <t>Folkekirkemedlemmer</t>
        </is>
      </c>
      <c r="C86" s="13" t="n">
        <v>54629</v>
      </c>
      <c r="D86" s="13" t="n">
        <v>54438</v>
      </c>
      <c r="E86" s="13" t="n">
        <v>-191</v>
      </c>
      <c r="F86" s="12" t="inlineStr">
        <is>
          <t>Primær kilde i master er ny tabel, hvis feltet findes dér</t>
        </is>
      </c>
    </row>
    <row r="87">
      <c r="A87" s="12" t="inlineStr">
        <is>
          <t>Sønderborg Provsti</t>
        </is>
      </c>
      <c r="B87" s="12" t="inlineStr">
        <is>
          <t>Medlemsprocent</t>
        </is>
      </c>
      <c r="C87" s="13" t="n">
        <v>0.737</v>
      </c>
      <c r="D87" s="13" t="n">
        <v>0.7355790668450282</v>
      </c>
      <c r="E87" s="13" t="n">
        <v>-0.001420933154971826</v>
      </c>
      <c r="F87" s="12" t="inlineStr">
        <is>
          <t>Primær kilde i master er ny tabel, hvis feltet findes dér</t>
        </is>
      </c>
    </row>
    <row r="88">
      <c r="A88" s="12" t="inlineStr">
        <is>
          <t>Sønderborg Provsti</t>
        </is>
      </c>
      <c r="B88" s="12" t="inlineStr">
        <is>
          <t>Kirker</t>
        </is>
      </c>
      <c r="C88" s="13" t="n"/>
      <c r="D88" s="13" t="n">
        <v>36</v>
      </c>
      <c r="E88" s="13" t="n"/>
      <c r="F88" s="12" t="inlineStr">
        <is>
          <t>Mangler i en af kilderne</t>
        </is>
      </c>
    </row>
    <row r="89">
      <c r="A89" s="12" t="inlineStr">
        <is>
          <t>Sønderborg Provsti</t>
        </is>
      </c>
      <c r="B89" s="12" t="inlineStr">
        <is>
          <t>Lokal ligning t.kr.</t>
        </is>
      </c>
      <c r="C89" s="13" t="n"/>
      <c r="D89" s="13" t="n">
        <v>96872.3010384551</v>
      </c>
      <c r="E89" s="13" t="n"/>
      <c r="F89" s="12" t="inlineStr">
        <is>
          <t>Mangler i en af kilderne</t>
        </is>
      </c>
    </row>
    <row r="90">
      <c r="A90" s="12" t="inlineStr">
        <is>
          <t>Sønderborg Provsti</t>
        </is>
      </c>
      <c r="B90" s="12" t="inlineStr">
        <is>
          <t>Maks. stiftsbidrag 1 % (t.kr.)</t>
        </is>
      </c>
      <c r="C90" s="13" t="n"/>
      <c r="D90" s="13" t="n">
        <v>968.723010384551</v>
      </c>
      <c r="E90" s="13" t="n"/>
      <c r="F90" s="12" t="inlineStr">
        <is>
          <t>Mangler i en af kilderne</t>
        </is>
      </c>
    </row>
    <row r="91">
      <c r="A91" s="12" t="inlineStr">
        <is>
          <t>Vejle Provsti</t>
        </is>
      </c>
      <c r="B91" s="12" t="inlineStr">
        <is>
          <t>Indbyggertal</t>
        </is>
      </c>
      <c r="C91" s="13" t="n">
        <v>105488</v>
      </c>
      <c r="D91" s="13" t="n">
        <v>105803</v>
      </c>
      <c r="E91" s="13" t="n">
        <v>315</v>
      </c>
      <c r="F91" s="12" t="inlineStr">
        <is>
          <t>Primær kilde i master er ny tabel, hvis feltet findes dér</t>
        </is>
      </c>
    </row>
    <row r="92">
      <c r="A92" s="12" t="inlineStr">
        <is>
          <t>Vejle Provsti</t>
        </is>
      </c>
      <c r="B92" s="12" t="inlineStr">
        <is>
          <t>Folkekirkemedlemmer</t>
        </is>
      </c>
      <c r="C92" s="13" t="n">
        <v>76408</v>
      </c>
      <c r="D92" s="13" t="n">
        <v>76427</v>
      </c>
      <c r="E92" s="13" t="n">
        <v>19</v>
      </c>
      <c r="F92" s="12" t="inlineStr">
        <is>
          <t>Primær kilde i master er ny tabel, hvis feltet findes dér</t>
        </is>
      </c>
    </row>
    <row r="93">
      <c r="A93" s="12" t="inlineStr">
        <is>
          <t>Vejle Provsti</t>
        </is>
      </c>
      <c r="B93" s="12" t="inlineStr">
        <is>
          <t>Medlemsprocent</t>
        </is>
      </c>
      <c r="C93" s="13" t="n">
        <v>0.7240000000000001</v>
      </c>
      <c r="D93" s="13" t="n">
        <v>0.722351918187575</v>
      </c>
      <c r="E93" s="13" t="n">
        <v>-0.00164808181242504</v>
      </c>
      <c r="F93" s="12" t="inlineStr">
        <is>
          <t>Primær kilde i master er ny tabel, hvis feltet findes dér</t>
        </is>
      </c>
    </row>
    <row r="94">
      <c r="A94" s="12" t="inlineStr">
        <is>
          <t>Vejle Provsti</t>
        </is>
      </c>
      <c r="B94" s="12" t="inlineStr">
        <is>
          <t>Kirker</t>
        </is>
      </c>
      <c r="C94" s="13" t="n"/>
      <c r="D94" s="13" t="n">
        <v>38</v>
      </c>
      <c r="E94" s="13" t="n"/>
      <c r="F94" s="12" t="inlineStr">
        <is>
          <t>Mangler i en af kilderne</t>
        </is>
      </c>
    </row>
    <row r="95">
      <c r="A95" s="12" t="inlineStr">
        <is>
          <t>Vejle Provsti</t>
        </is>
      </c>
      <c r="B95" s="12" t="inlineStr">
        <is>
          <t>Lokal ligning t.kr.</t>
        </is>
      </c>
      <c r="C95" s="13" t="n"/>
      <c r="D95" s="13" t="n">
        <v>157938.0588756277</v>
      </c>
      <c r="E95" s="13" t="n"/>
      <c r="F95" s="12" t="inlineStr">
        <is>
          <t>Mangler i en af kilderne</t>
        </is>
      </c>
    </row>
    <row r="96">
      <c r="A96" s="12" t="inlineStr">
        <is>
          <t>Vejle Provsti</t>
        </is>
      </c>
      <c r="B96" s="12" t="inlineStr">
        <is>
          <t>Maks. stiftsbidrag 1 % (t.kr.)</t>
        </is>
      </c>
      <c r="C96" s="13" t="n"/>
      <c r="D96" s="13" t="n">
        <v>1579.380588756277</v>
      </c>
      <c r="E96" s="13" t="n"/>
      <c r="F96" s="12" t="inlineStr">
        <is>
          <t>Mangler i en af kilderne</t>
        </is>
      </c>
    </row>
    <row r="97">
      <c r="A97" s="12" t="inlineStr">
        <is>
          <t>Aabenraa Provsti</t>
        </is>
      </c>
      <c r="B97" s="12" t="inlineStr">
        <is>
          <t>Indbyggertal</t>
        </is>
      </c>
      <c r="C97" s="13" t="n">
        <v>58401</v>
      </c>
      <c r="D97" s="13" t="n">
        <v>58295</v>
      </c>
      <c r="E97" s="13" t="n">
        <v>-106</v>
      </c>
      <c r="F97" s="12" t="inlineStr">
        <is>
          <t>Primær kilde i master er ny tabel, hvis feltet findes dér</t>
        </is>
      </c>
    </row>
    <row r="98">
      <c r="A98" s="12" t="inlineStr">
        <is>
          <t>Aabenraa Provsti</t>
        </is>
      </c>
      <c r="B98" s="12" t="inlineStr">
        <is>
          <t>Folkekirkemedlemmer</t>
        </is>
      </c>
      <c r="C98" s="13" t="n">
        <v>42968</v>
      </c>
      <c r="D98" s="13" t="n">
        <v>42800</v>
      </c>
      <c r="E98" s="13" t="n">
        <v>-168</v>
      </c>
      <c r="F98" s="12" t="inlineStr">
        <is>
          <t>Primær kilde i master er ny tabel, hvis feltet findes dér</t>
        </is>
      </c>
    </row>
    <row r="99">
      <c r="A99" s="12" t="inlineStr">
        <is>
          <t>Aabenraa Provsti</t>
        </is>
      </c>
      <c r="B99" s="12" t="inlineStr">
        <is>
          <t>Medlemsprocent</t>
        </is>
      </c>
      <c r="C99" s="13" t="n">
        <v>0.736</v>
      </c>
      <c r="D99" s="13" t="n">
        <v>0.734196757869457</v>
      </c>
      <c r="E99" s="13" t="n">
        <v>-0.001803242130542948</v>
      </c>
      <c r="F99" s="12" t="inlineStr">
        <is>
          <t>Primær kilde i master er ny tabel, hvis feltet findes dér</t>
        </is>
      </c>
    </row>
    <row r="100">
      <c r="A100" s="12" t="inlineStr">
        <is>
          <t>Aabenraa Provsti</t>
        </is>
      </c>
      <c r="B100" s="12" t="inlineStr">
        <is>
          <t>Kirker</t>
        </is>
      </c>
      <c r="C100" s="13" t="n"/>
      <c r="D100" s="13" t="n">
        <v>26</v>
      </c>
      <c r="E100" s="13" t="n"/>
      <c r="F100" s="12" t="inlineStr">
        <is>
          <t>Mangler i en af kilderne</t>
        </is>
      </c>
    </row>
    <row r="101">
      <c r="A101" s="12" t="inlineStr">
        <is>
          <t>Aabenraa Provsti</t>
        </is>
      </c>
      <c r="B101" s="12" t="inlineStr">
        <is>
          <t>Lokal ligning t.kr.</t>
        </is>
      </c>
      <c r="C101" s="13" t="n"/>
      <c r="D101" s="13" t="n">
        <v>76710.97967256475</v>
      </c>
      <c r="E101" s="13" t="n"/>
      <c r="F101" s="12" t="inlineStr">
        <is>
          <t>Mangler i en af kilderne</t>
        </is>
      </c>
    </row>
    <row r="102">
      <c r="A102" s="12" t="inlineStr">
        <is>
          <t>Aabenraa Provsti</t>
        </is>
      </c>
      <c r="B102" s="12" t="inlineStr">
        <is>
          <t>Maks. stiftsbidrag 1 % (t.kr.)</t>
        </is>
      </c>
      <c r="C102" s="13" t="n"/>
      <c r="D102" s="13" t="n">
        <v>767.1097967256474</v>
      </c>
      <c r="E102" s="13" t="n"/>
      <c r="F102" s="12" t="inlineStr">
        <is>
          <t>Mangler i en af kilderne</t>
        </is>
      </c>
    </row>
    <row r="103">
      <c r="A103" s="12" t="inlineStr">
        <is>
          <t>Ballerup-Furesø Provsti</t>
        </is>
      </c>
      <c r="B103" s="12" t="inlineStr">
        <is>
          <t>Indbyggertal</t>
        </is>
      </c>
      <c r="C103" s="13" t="n">
        <v>96824</v>
      </c>
      <c r="D103" s="13" t="n">
        <v>96886</v>
      </c>
      <c r="E103" s="13" t="n">
        <v>62</v>
      </c>
      <c r="F103" s="12" t="inlineStr">
        <is>
          <t>Primær kilde i master er ny tabel, hvis feltet findes dér</t>
        </is>
      </c>
    </row>
    <row r="104">
      <c r="A104" s="12" t="inlineStr">
        <is>
          <t>Ballerup-Furesø Provsti</t>
        </is>
      </c>
      <c r="B104" s="12" t="inlineStr">
        <is>
          <t>Folkekirkemedlemmer</t>
        </is>
      </c>
      <c r="C104" s="13" t="n">
        <v>57751</v>
      </c>
      <c r="D104" s="13" t="n">
        <v>57614</v>
      </c>
      <c r="E104" s="13" t="n">
        <v>-137</v>
      </c>
      <c r="F104" s="12" t="inlineStr">
        <is>
          <t>Primær kilde i master er ny tabel, hvis feltet findes dér</t>
        </is>
      </c>
    </row>
    <row r="105">
      <c r="A105" s="12" t="inlineStr">
        <is>
          <t>Ballerup-Furesø Provsti</t>
        </is>
      </c>
      <c r="B105" s="12" t="inlineStr">
        <is>
          <t>Medlemsprocent</t>
        </is>
      </c>
      <c r="C105" s="13" t="n">
        <v>0.596</v>
      </c>
      <c r="D105" s="13" t="n">
        <v>0.5946576388745536</v>
      </c>
      <c r="E105" s="13" t="n">
        <v>-0.00134236112544639</v>
      </c>
      <c r="F105" s="12" t="inlineStr">
        <is>
          <t>Primær kilde i master er ny tabel, hvis feltet findes dér</t>
        </is>
      </c>
    </row>
    <row r="106">
      <c r="A106" s="12" t="inlineStr">
        <is>
          <t>Ballerup-Furesø Provsti</t>
        </is>
      </c>
      <c r="B106" s="12" t="inlineStr">
        <is>
          <t>Kirker</t>
        </is>
      </c>
      <c r="C106" s="13" t="n"/>
      <c r="D106" s="13" t="n">
        <v>13</v>
      </c>
      <c r="E106" s="13" t="n"/>
      <c r="F106" s="12" t="inlineStr">
        <is>
          <t>Mangler i en af kilderne</t>
        </is>
      </c>
    </row>
    <row r="107">
      <c r="A107" s="12" t="inlineStr">
        <is>
          <t>Ballerup-Furesø Provsti</t>
        </is>
      </c>
      <c r="B107" s="12" t="inlineStr">
        <is>
          <t>Pastorater</t>
        </is>
      </c>
      <c r="C107" s="13" t="n"/>
      <c r="D107" s="13" t="n">
        <v>6</v>
      </c>
      <c r="E107" s="13" t="n"/>
      <c r="F107" s="12" t="inlineStr">
        <is>
          <t>Mangler i en af kilderne</t>
        </is>
      </c>
    </row>
    <row r="108">
      <c r="A108" s="12" t="inlineStr">
        <is>
          <t>Ballerup-Furesø Provsti</t>
        </is>
      </c>
      <c r="B108" s="12" t="inlineStr">
        <is>
          <t>Lokal ligning t.kr.</t>
        </is>
      </c>
      <c r="C108" s="13" t="n">
        <v>94941</v>
      </c>
      <c r="D108" s="13" t="n">
        <v>94940.9066981123</v>
      </c>
      <c r="E108" s="13" t="n">
        <v>-0.09330188769672532</v>
      </c>
      <c r="F108" s="12" t="inlineStr">
        <is>
          <t>Primær kilde i master er ny tabel, hvis feltet findes dér</t>
        </is>
      </c>
    </row>
    <row r="109">
      <c r="A109" s="12" t="inlineStr">
        <is>
          <t>Ballerup-Furesø Provsti</t>
        </is>
      </c>
      <c r="B109" s="12" t="inlineStr">
        <is>
          <t>Maks. stiftsbidrag 1 % (t.kr.)</t>
        </is>
      </c>
      <c r="C109" s="13" t="n">
        <v>949</v>
      </c>
      <c r="D109" s="13" t="n">
        <v>949.409066981123</v>
      </c>
      <c r="E109" s="13" t="n">
        <v>0.4090669811230327</v>
      </c>
      <c r="F109" s="12" t="inlineStr">
        <is>
          <t>Primær kilde i master er ny tabel, hvis feltet findes dér</t>
        </is>
      </c>
    </row>
    <row r="110">
      <c r="A110" s="12" t="inlineStr">
        <is>
          <t>Fredensborg Provsti</t>
        </is>
      </c>
      <c r="B110" s="12" t="inlineStr">
        <is>
          <t>Indbyggertal</t>
        </is>
      </c>
      <c r="C110" s="13" t="n">
        <v>67395</v>
      </c>
      <c r="D110" s="13" t="n">
        <v>67449</v>
      </c>
      <c r="E110" s="13" t="n">
        <v>54</v>
      </c>
      <c r="F110" s="12" t="inlineStr">
        <is>
          <t>Primær kilde i master er ny tabel, hvis feltet findes dér</t>
        </is>
      </c>
    </row>
    <row r="111">
      <c r="A111" s="12" t="inlineStr">
        <is>
          <t>Fredensborg Provsti</t>
        </is>
      </c>
      <c r="B111" s="12" t="inlineStr">
        <is>
          <t>Folkekirkemedlemmer</t>
        </is>
      </c>
      <c r="C111" s="13" t="n">
        <v>44570</v>
      </c>
      <c r="D111" s="13" t="n">
        <v>44535</v>
      </c>
      <c r="E111" s="13" t="n">
        <v>-35</v>
      </c>
      <c r="F111" s="12" t="inlineStr">
        <is>
          <t>Primær kilde i master er ny tabel, hvis feltet findes dér</t>
        </is>
      </c>
    </row>
    <row r="112">
      <c r="A112" s="12" t="inlineStr">
        <is>
          <t>Fredensborg Provsti</t>
        </is>
      </c>
      <c r="B112" s="12" t="inlineStr">
        <is>
          <t>Medlemsprocent</t>
        </is>
      </c>
      <c r="C112" s="13" t="n">
        <v>0.6609999999999999</v>
      </c>
      <c r="D112" s="13" t="n">
        <v>0.6602766534715118</v>
      </c>
      <c r="E112" s="13" t="n">
        <v>-0.0007233465284881557</v>
      </c>
      <c r="F112" s="12" t="inlineStr">
        <is>
          <t>Primær kilde i master er ny tabel, hvis feltet findes dér</t>
        </is>
      </c>
    </row>
    <row r="113">
      <c r="A113" s="12" t="inlineStr">
        <is>
          <t>Fredensborg Provsti</t>
        </is>
      </c>
      <c r="B113" s="12" t="inlineStr">
        <is>
          <t>Kirker</t>
        </is>
      </c>
      <c r="C113" s="13" t="n"/>
      <c r="D113" s="13" t="n">
        <v>13</v>
      </c>
      <c r="E113" s="13" t="n"/>
      <c r="F113" s="12" t="inlineStr">
        <is>
          <t>Mangler i en af kilderne</t>
        </is>
      </c>
    </row>
    <row r="114">
      <c r="A114" s="12" t="inlineStr">
        <is>
          <t>Fredensborg Provsti</t>
        </is>
      </c>
      <c r="B114" s="12" t="inlineStr">
        <is>
          <t>Pastorater</t>
        </is>
      </c>
      <c r="C114" s="13" t="n"/>
      <c r="D114" s="13" t="n">
        <v>6</v>
      </c>
      <c r="E114" s="13" t="n"/>
      <c r="F114" s="12" t="inlineStr">
        <is>
          <t>Mangler i en af kilderne</t>
        </is>
      </c>
    </row>
    <row r="115">
      <c r="A115" s="12" t="inlineStr">
        <is>
          <t>Fredensborg Provsti</t>
        </is>
      </c>
      <c r="B115" s="12" t="inlineStr">
        <is>
          <t>Lokal ligning t.kr.</t>
        </is>
      </c>
      <c r="C115" s="13" t="n">
        <v>68792</v>
      </c>
      <c r="D115" s="13" t="n">
        <v>68792.45834325059</v>
      </c>
      <c r="E115" s="13" t="n">
        <v>0.4583432505896781</v>
      </c>
      <c r="F115" s="12" t="inlineStr">
        <is>
          <t>Primær kilde i master er ny tabel, hvis feltet findes dér</t>
        </is>
      </c>
    </row>
    <row r="116">
      <c r="A116" s="12" t="inlineStr">
        <is>
          <t>Fredensborg Provsti</t>
        </is>
      </c>
      <c r="B116" s="12" t="inlineStr">
        <is>
          <t>Maks. stiftsbidrag 1 % (t.kr.)</t>
        </is>
      </c>
      <c r="C116" s="13" t="n">
        <v>688</v>
      </c>
      <c r="D116" s="13" t="n">
        <v>687.9245834325059</v>
      </c>
      <c r="E116" s="13" t="n">
        <v>-0.0754165674941305</v>
      </c>
      <c r="F116" s="12" t="inlineStr">
        <is>
          <t>Primær kilde i master er ny tabel, hvis feltet findes dér</t>
        </is>
      </c>
    </row>
    <row r="117">
      <c r="A117" s="12" t="inlineStr">
        <is>
          <t>Frederikssund Provsti</t>
        </is>
      </c>
      <c r="B117" s="12" t="inlineStr">
        <is>
          <t>Indbyggertal</t>
        </is>
      </c>
      <c r="C117" s="13" t="n">
        <v>93660</v>
      </c>
      <c r="D117" s="13" t="n">
        <v>94104</v>
      </c>
      <c r="E117" s="13" t="n">
        <v>444</v>
      </c>
      <c r="F117" s="12" t="inlineStr">
        <is>
          <t>Primær kilde i master er ny tabel, hvis feltet findes dér</t>
        </is>
      </c>
    </row>
    <row r="118">
      <c r="A118" s="12" t="inlineStr">
        <is>
          <t>Frederikssund Provsti</t>
        </is>
      </c>
      <c r="B118" s="12" t="inlineStr">
        <is>
          <t>Folkekirkemedlemmer</t>
        </is>
      </c>
      <c r="C118" s="13" t="n">
        <v>68189</v>
      </c>
      <c r="D118" s="13" t="n">
        <v>68391</v>
      </c>
      <c r="E118" s="13" t="n">
        <v>202</v>
      </c>
      <c r="F118" s="12" t="inlineStr">
        <is>
          <t>Primær kilde i master er ny tabel, hvis feltet findes dér</t>
        </is>
      </c>
    </row>
    <row r="119">
      <c r="A119" s="12" t="inlineStr">
        <is>
          <t>Frederikssund Provsti</t>
        </is>
      </c>
      <c r="B119" s="12" t="inlineStr">
        <is>
          <t>Medlemsprocent</t>
        </is>
      </c>
      <c r="C119" s="13" t="n">
        <v>0.728</v>
      </c>
      <c r="D119" s="13" t="n">
        <v>0.7267597551644989</v>
      </c>
      <c r="E119" s="13" t="n">
        <v>-0.001240244835501114</v>
      </c>
      <c r="F119" s="12" t="inlineStr">
        <is>
          <t>Primær kilde i master er ny tabel, hvis feltet findes dér</t>
        </is>
      </c>
    </row>
    <row r="120">
      <c r="A120" s="12" t="inlineStr">
        <is>
          <t>Frederikssund Provsti</t>
        </is>
      </c>
      <c r="B120" s="12" t="inlineStr">
        <is>
          <t>Kirker</t>
        </is>
      </c>
      <c r="C120" s="13" t="n"/>
      <c r="D120" s="13" t="n">
        <v>28</v>
      </c>
      <c r="E120" s="13" t="n"/>
      <c r="F120" s="12" t="inlineStr">
        <is>
          <t>Mangler i en af kilderne</t>
        </is>
      </c>
    </row>
    <row r="121">
      <c r="A121" s="12" t="inlineStr">
        <is>
          <t>Frederikssund Provsti</t>
        </is>
      </c>
      <c r="B121" s="12" t="inlineStr">
        <is>
          <t>Pastorater</t>
        </is>
      </c>
      <c r="C121" s="13" t="n"/>
      <c r="D121" s="13" t="n">
        <v>15</v>
      </c>
      <c r="E121" s="13" t="n"/>
      <c r="F121" s="12" t="inlineStr">
        <is>
          <t>Mangler i en af kilderne</t>
        </is>
      </c>
    </row>
    <row r="122">
      <c r="A122" s="12" t="inlineStr">
        <is>
          <t>Frederikssund Provsti</t>
        </is>
      </c>
      <c r="B122" s="12" t="inlineStr">
        <is>
          <t>Lokal ligning t.kr.</t>
        </is>
      </c>
      <c r="C122" s="13" t="n">
        <v>121567</v>
      </c>
      <c r="D122" s="13" t="n">
        <v>121566.8698447989</v>
      </c>
      <c r="E122" s="13" t="n">
        <v>-0.1301552010845626</v>
      </c>
      <c r="F122" s="12" t="inlineStr">
        <is>
          <t>Primær kilde i master er ny tabel, hvis feltet findes dér</t>
        </is>
      </c>
    </row>
    <row r="123">
      <c r="A123" s="12" t="inlineStr">
        <is>
          <t>Frederikssund Provsti</t>
        </is>
      </c>
      <c r="B123" s="12" t="inlineStr">
        <is>
          <t>Maks. stiftsbidrag 1 % (t.kr.)</t>
        </is>
      </c>
      <c r="C123" s="13" t="n">
        <v>1216</v>
      </c>
      <c r="D123" s="13" t="n">
        <v>1215.668698447989</v>
      </c>
      <c r="E123" s="13" t="n">
        <v>-0.3313015520107001</v>
      </c>
      <c r="F123" s="12" t="inlineStr">
        <is>
          <t>Primær kilde i master er ny tabel, hvis feltet findes dér</t>
        </is>
      </c>
    </row>
    <row r="124">
      <c r="A124" s="12" t="inlineStr">
        <is>
          <t>Frederiksværk Provsti</t>
        </is>
      </c>
      <c r="B124" s="12" t="inlineStr">
        <is>
          <t>Indbyggertal</t>
        </is>
      </c>
      <c r="C124" s="13" t="n">
        <v>73525</v>
      </c>
      <c r="D124" s="13" t="n">
        <v>73710</v>
      </c>
      <c r="E124" s="13" t="n">
        <v>185</v>
      </c>
      <c r="F124" s="12" t="inlineStr">
        <is>
          <t>Primær kilde i master er ny tabel, hvis feltet findes dér</t>
        </is>
      </c>
    </row>
    <row r="125">
      <c r="A125" s="12" t="inlineStr">
        <is>
          <t>Frederiksværk Provsti</t>
        </is>
      </c>
      <c r="B125" s="12" t="inlineStr">
        <is>
          <t>Folkekirkemedlemmer</t>
        </is>
      </c>
      <c r="C125" s="13" t="n">
        <v>53623</v>
      </c>
      <c r="D125" s="13" t="n">
        <v>53698</v>
      </c>
      <c r="E125" s="13" t="n">
        <v>75</v>
      </c>
      <c r="F125" s="12" t="inlineStr">
        <is>
          <t>Primær kilde i master er ny tabel, hvis feltet findes dér</t>
        </is>
      </c>
    </row>
    <row r="126">
      <c r="A126" s="12" t="inlineStr">
        <is>
          <t>Frederiksværk Provsti</t>
        </is>
      </c>
      <c r="B126" s="12" t="inlineStr">
        <is>
          <t>Medlemsprocent</t>
        </is>
      </c>
      <c r="C126" s="13" t="n">
        <v>0.7290000000000001</v>
      </c>
      <c r="D126" s="13" t="n">
        <v>0.7285035951702619</v>
      </c>
      <c r="E126" s="13" t="n">
        <v>-0.0004964048297382284</v>
      </c>
      <c r="F126" s="12" t="inlineStr">
        <is>
          <t>Primær kilde i master er ny tabel, hvis feltet findes dér</t>
        </is>
      </c>
    </row>
    <row r="127">
      <c r="A127" s="12" t="inlineStr">
        <is>
          <t>Frederiksværk Provsti</t>
        </is>
      </c>
      <c r="B127" s="12" t="inlineStr">
        <is>
          <t>Kirker</t>
        </is>
      </c>
      <c r="C127" s="13" t="n"/>
      <c r="D127" s="13" t="n">
        <v>25</v>
      </c>
      <c r="E127" s="13" t="n"/>
      <c r="F127" s="12" t="inlineStr">
        <is>
          <t>Mangler i en af kilderne</t>
        </is>
      </c>
    </row>
    <row r="128">
      <c r="A128" s="12" t="inlineStr">
        <is>
          <t>Frederiksværk Provsti</t>
        </is>
      </c>
      <c r="B128" s="12" t="inlineStr">
        <is>
          <t>Pastorater</t>
        </is>
      </c>
      <c r="C128" s="13" t="n"/>
      <c r="D128" s="13" t="n">
        <v>13</v>
      </c>
      <c r="E128" s="13" t="n"/>
      <c r="F128" s="12" t="inlineStr">
        <is>
          <t>Mangler i en af kilderne</t>
        </is>
      </c>
    </row>
    <row r="129">
      <c r="A129" s="12" t="inlineStr">
        <is>
          <t>Frederiksværk Provsti</t>
        </is>
      </c>
      <c r="B129" s="12" t="inlineStr">
        <is>
          <t>Lokal ligning t.kr.</t>
        </is>
      </c>
      <c r="C129" s="13" t="n">
        <v>90258</v>
      </c>
      <c r="D129" s="13" t="n">
        <v>90257.52681630368</v>
      </c>
      <c r="E129" s="13" t="n">
        <v>-0.4731836963183014</v>
      </c>
      <c r="F129" s="12" t="inlineStr">
        <is>
          <t>Primær kilde i master er ny tabel, hvis feltet findes dér</t>
        </is>
      </c>
    </row>
    <row r="130">
      <c r="A130" s="12" t="inlineStr">
        <is>
          <t>Frederiksværk Provsti</t>
        </is>
      </c>
      <c r="B130" s="12" t="inlineStr">
        <is>
          <t>Maks. stiftsbidrag 1 % (t.kr.)</t>
        </is>
      </c>
      <c r="C130" s="13" t="n">
        <v>903</v>
      </c>
      <c r="D130" s="13" t="n">
        <v>902.5752681630369</v>
      </c>
      <c r="E130" s="13" t="n">
        <v>-0.424731836963133</v>
      </c>
      <c r="F130" s="12" t="inlineStr">
        <is>
          <t>Primær kilde i master er ny tabel, hvis feltet findes dér</t>
        </is>
      </c>
    </row>
    <row r="131">
      <c r="A131" s="12" t="inlineStr">
        <is>
          <t>Gentofte Provsti</t>
        </is>
      </c>
      <c r="B131" s="12" t="inlineStr">
        <is>
          <t>Indbyggertal</t>
        </is>
      </c>
      <c r="C131" s="13" t="n">
        <v>75106</v>
      </c>
      <c r="D131" s="13" t="n">
        <v>75086</v>
      </c>
      <c r="E131" s="13" t="n">
        <v>-20</v>
      </c>
      <c r="F131" s="12" t="inlineStr">
        <is>
          <t>Primær kilde i master er ny tabel, hvis feltet findes dér</t>
        </is>
      </c>
    </row>
    <row r="132">
      <c r="A132" s="12" t="inlineStr">
        <is>
          <t>Gentofte Provsti</t>
        </is>
      </c>
      <c r="B132" s="12" t="inlineStr">
        <is>
          <t>Folkekirkemedlemmer</t>
        </is>
      </c>
      <c r="C132" s="13" t="n">
        <v>48679</v>
      </c>
      <c r="D132" s="13" t="n">
        <v>48605</v>
      </c>
      <c r="E132" s="13" t="n">
        <v>-74</v>
      </c>
      <c r="F132" s="12" t="inlineStr">
        <is>
          <t>Primær kilde i master er ny tabel, hvis feltet findes dér</t>
        </is>
      </c>
    </row>
    <row r="133">
      <c r="A133" s="12" t="inlineStr">
        <is>
          <t>Gentofte Provsti</t>
        </is>
      </c>
      <c r="B133" s="12" t="inlineStr">
        <is>
          <t>Medlemsprocent</t>
        </is>
      </c>
      <c r="C133" s="13" t="n">
        <v>0.648</v>
      </c>
      <c r="D133" s="13" t="n">
        <v>0.6473244013531151</v>
      </c>
      <c r="E133" s="13" t="n">
        <v>-0.000675598646884934</v>
      </c>
      <c r="F133" s="12" t="inlineStr">
        <is>
          <t>Primær kilde i master er ny tabel, hvis feltet findes dér</t>
        </is>
      </c>
    </row>
    <row r="134">
      <c r="A134" s="12" t="inlineStr">
        <is>
          <t>Gentofte Provsti</t>
        </is>
      </c>
      <c r="B134" s="12" t="inlineStr">
        <is>
          <t>Kirker</t>
        </is>
      </c>
      <c r="C134" s="13" t="n"/>
      <c r="D134" s="13" t="n">
        <v>14</v>
      </c>
      <c r="E134" s="13" t="n"/>
      <c r="F134" s="12" t="inlineStr">
        <is>
          <t>Mangler i en af kilderne</t>
        </is>
      </c>
    </row>
    <row r="135">
      <c r="A135" s="12" t="inlineStr">
        <is>
          <t>Gentofte Provsti</t>
        </is>
      </c>
      <c r="B135" s="12" t="inlineStr">
        <is>
          <t>Pastorater</t>
        </is>
      </c>
      <c r="C135" s="13" t="n"/>
      <c r="D135" s="13" t="n">
        <v>9</v>
      </c>
      <c r="E135" s="13" t="n"/>
      <c r="F135" s="12" t="inlineStr">
        <is>
          <t>Mangler i en af kilderne</t>
        </is>
      </c>
    </row>
    <row r="136">
      <c r="A136" s="12" t="inlineStr">
        <is>
          <t>Gentofte Provsti</t>
        </is>
      </c>
      <c r="B136" s="12" t="inlineStr">
        <is>
          <t>Lokal ligning t.kr.</t>
        </is>
      </c>
      <c r="C136" s="13" t="n">
        <v>62914</v>
      </c>
      <c r="D136" s="13" t="n">
        <v>62914.37686860403</v>
      </c>
      <c r="E136" s="13" t="n">
        <v>0.3768686040348257</v>
      </c>
      <c r="F136" s="12" t="inlineStr">
        <is>
          <t>Primær kilde i master er ny tabel, hvis feltet findes dér</t>
        </is>
      </c>
    </row>
    <row r="137">
      <c r="A137" s="12" t="inlineStr">
        <is>
          <t>Gentofte Provsti</t>
        </is>
      </c>
      <c r="B137" s="12" t="inlineStr">
        <is>
          <t>Maks. stiftsbidrag 1 % (t.kr.)</t>
        </is>
      </c>
      <c r="C137" s="13" t="n">
        <v>629</v>
      </c>
      <c r="D137" s="13" t="n">
        <v>629.1437686860403</v>
      </c>
      <c r="E137" s="13" t="n">
        <v>0.1437686860402891</v>
      </c>
      <c r="F137" s="12" t="inlineStr">
        <is>
          <t>Primær kilde i master er ny tabel, hvis feltet findes dér</t>
        </is>
      </c>
    </row>
    <row r="138">
      <c r="A138" s="12" t="inlineStr">
        <is>
          <t>Gladsaxe-Herlev Provsti</t>
        </is>
      </c>
      <c r="B138" s="12" t="inlineStr">
        <is>
          <t>Indbyggertal</t>
        </is>
      </c>
      <c r="C138" s="13" t="n">
        <v>103215</v>
      </c>
      <c r="D138" s="13" t="n">
        <v>103096</v>
      </c>
      <c r="E138" s="13" t="n">
        <v>-119</v>
      </c>
      <c r="F138" s="12" t="inlineStr">
        <is>
          <t>Primær kilde i master er ny tabel, hvis feltet findes dér</t>
        </is>
      </c>
    </row>
    <row r="139">
      <c r="A139" s="12" t="inlineStr">
        <is>
          <t>Gladsaxe-Herlev Provsti</t>
        </is>
      </c>
      <c r="B139" s="12" t="inlineStr">
        <is>
          <t>Folkekirkemedlemmer</t>
        </is>
      </c>
      <c r="C139" s="13" t="n">
        <v>56189</v>
      </c>
      <c r="D139" s="13" t="n">
        <v>55870</v>
      </c>
      <c r="E139" s="13" t="n">
        <v>-319</v>
      </c>
      <c r="F139" s="12" t="inlineStr">
        <is>
          <t>Primær kilde i master er ny tabel, hvis feltet findes dér</t>
        </is>
      </c>
    </row>
    <row r="140">
      <c r="A140" s="12" t="inlineStr">
        <is>
          <t>Gladsaxe-Herlev Provsti</t>
        </is>
      </c>
      <c r="B140" s="12" t="inlineStr">
        <is>
          <t>Medlemsprocent</t>
        </is>
      </c>
      <c r="C140" s="13" t="n">
        <v>0.544</v>
      </c>
      <c r="D140" s="13" t="n">
        <v>0.5419220920307286</v>
      </c>
      <c r="E140" s="13" t="n">
        <v>-0.002077907969271431</v>
      </c>
      <c r="F140" s="12" t="inlineStr">
        <is>
          <t>Primær kilde i master er ny tabel, hvis feltet findes dér</t>
        </is>
      </c>
    </row>
    <row r="141">
      <c r="A141" s="12" t="inlineStr">
        <is>
          <t>Gladsaxe-Herlev Provsti</t>
        </is>
      </c>
      <c r="B141" s="12" t="inlineStr">
        <is>
          <t>Kirker</t>
        </is>
      </c>
      <c r="C141" s="13" t="n"/>
      <c r="D141" s="13" t="n">
        <v>14</v>
      </c>
      <c r="E141" s="13" t="n"/>
      <c r="F141" s="12" t="inlineStr">
        <is>
          <t>Mangler i en af kilderne</t>
        </is>
      </c>
    </row>
    <row r="142">
      <c r="A142" s="12" t="inlineStr">
        <is>
          <t>Gladsaxe-Herlev Provsti</t>
        </is>
      </c>
      <c r="B142" s="12" t="inlineStr">
        <is>
          <t>Pastorater</t>
        </is>
      </c>
      <c r="C142" s="13" t="n"/>
      <c r="D142" s="13" t="n">
        <v>10</v>
      </c>
      <c r="E142" s="13" t="n"/>
      <c r="F142" s="12" t="inlineStr">
        <is>
          <t>Mangler i en af kilderne</t>
        </is>
      </c>
    </row>
    <row r="143">
      <c r="A143" s="12" t="inlineStr">
        <is>
          <t>Gladsaxe-Herlev Provsti</t>
        </is>
      </c>
      <c r="B143" s="12" t="inlineStr">
        <is>
          <t>Lokal ligning t.kr.</t>
        </is>
      </c>
      <c r="C143" s="13" t="n">
        <v>94535</v>
      </c>
      <c r="D143" s="13" t="n">
        <v>94535.16960723001</v>
      </c>
      <c r="E143" s="13" t="n">
        <v>0.1696072300110245</v>
      </c>
      <c r="F143" s="12" t="inlineStr">
        <is>
          <t>Primær kilde i master er ny tabel, hvis feltet findes dér</t>
        </is>
      </c>
    </row>
    <row r="144">
      <c r="A144" s="12" t="inlineStr">
        <is>
          <t>Gladsaxe-Herlev Provsti</t>
        </is>
      </c>
      <c r="B144" s="12" t="inlineStr">
        <is>
          <t>Maks. stiftsbidrag 1 % (t.kr.)</t>
        </is>
      </c>
      <c r="C144" s="13" t="n">
        <v>945</v>
      </c>
      <c r="D144" s="13" t="n">
        <v>945.3516960723001</v>
      </c>
      <c r="E144" s="13" t="n">
        <v>0.3516960723001148</v>
      </c>
      <c r="F144" s="12" t="inlineStr">
        <is>
          <t>Primær kilde i master er ny tabel, hvis feltet findes dér</t>
        </is>
      </c>
    </row>
    <row r="145">
      <c r="A145" s="12" t="inlineStr">
        <is>
          <t>Glostrup Provsti</t>
        </is>
      </c>
      <c r="B145" s="12" t="inlineStr">
        <is>
          <t>Indbyggertal</t>
        </is>
      </c>
      <c r="C145" s="13" t="n">
        <v>114775</v>
      </c>
      <c r="D145" s="13" t="n">
        <v>114960</v>
      </c>
      <c r="E145" s="13" t="n">
        <v>185</v>
      </c>
      <c r="F145" s="12" t="inlineStr">
        <is>
          <t>Primær kilde i master er ny tabel, hvis feltet findes dér</t>
        </is>
      </c>
    </row>
    <row r="146">
      <c r="A146" s="12" t="inlineStr">
        <is>
          <t>Glostrup Provsti</t>
        </is>
      </c>
      <c r="B146" s="12" t="inlineStr">
        <is>
          <t>Folkekirkemedlemmer</t>
        </is>
      </c>
      <c r="C146" s="13" t="n">
        <v>54602</v>
      </c>
      <c r="D146" s="13" t="n">
        <v>54408</v>
      </c>
      <c r="E146" s="13" t="n">
        <v>-194</v>
      </c>
      <c r="F146" s="12" t="inlineStr">
        <is>
          <t>Primær kilde i master er ny tabel, hvis feltet findes dér</t>
        </is>
      </c>
    </row>
    <row r="147">
      <c r="A147" s="12" t="inlineStr">
        <is>
          <t>Glostrup Provsti</t>
        </is>
      </c>
      <c r="B147" s="12" t="inlineStr">
        <is>
          <t>Medlemsprocent</t>
        </is>
      </c>
      <c r="C147" s="13" t="n">
        <v>0.476</v>
      </c>
      <c r="D147" s="13" t="n">
        <v>0.4732776617954071</v>
      </c>
      <c r="E147" s="13" t="n">
        <v>-0.002722338204592945</v>
      </c>
      <c r="F147" s="12" t="inlineStr">
        <is>
          <t>Primær kilde i master er ny tabel, hvis feltet findes dér</t>
        </is>
      </c>
    </row>
    <row r="148">
      <c r="A148" s="12" t="inlineStr">
        <is>
          <t>Glostrup Provsti</t>
        </is>
      </c>
      <c r="B148" s="12" t="inlineStr">
        <is>
          <t>Kirker</t>
        </is>
      </c>
      <c r="C148" s="13" t="n"/>
      <c r="D148" s="13" t="n">
        <v>17</v>
      </c>
      <c r="E148" s="13" t="n"/>
      <c r="F148" s="12" t="inlineStr">
        <is>
          <t>Mangler i en af kilderne</t>
        </is>
      </c>
    </row>
    <row r="149">
      <c r="A149" s="12" t="inlineStr">
        <is>
          <t>Glostrup Provsti</t>
        </is>
      </c>
      <c r="B149" s="12" t="inlineStr">
        <is>
          <t>Pastorater</t>
        </is>
      </c>
      <c r="C149" s="13" t="n"/>
      <c r="D149" s="13" t="n">
        <v>9</v>
      </c>
      <c r="E149" s="13" t="n"/>
      <c r="F149" s="12" t="inlineStr">
        <is>
          <t>Mangler i en af kilderne</t>
        </is>
      </c>
    </row>
    <row r="150">
      <c r="A150" s="12" t="inlineStr">
        <is>
          <t>Glostrup Provsti</t>
        </is>
      </c>
      <c r="B150" s="12" t="inlineStr">
        <is>
          <t>Lokal ligning t.kr.</t>
        </is>
      </c>
      <c r="C150" s="13" t="n">
        <v>87884</v>
      </c>
      <c r="D150" s="13" t="n">
        <v>87883.82421879018</v>
      </c>
      <c r="E150" s="13" t="n">
        <v>-0.1757812098221621</v>
      </c>
      <c r="F150" s="12" t="inlineStr">
        <is>
          <t>Primær kilde i master er ny tabel, hvis feltet findes dér</t>
        </is>
      </c>
    </row>
    <row r="151">
      <c r="A151" s="12" t="inlineStr">
        <is>
          <t>Glostrup Provsti</t>
        </is>
      </c>
      <c r="B151" s="12" t="inlineStr">
        <is>
          <t>Maks. stiftsbidrag 1 % (t.kr.)</t>
        </is>
      </c>
      <c r="C151" s="13" t="n">
        <v>879</v>
      </c>
      <c r="D151" s="13" t="n">
        <v>878.8382421879018</v>
      </c>
      <c r="E151" s="13" t="n">
        <v>-0.1617578120982444</v>
      </c>
      <c r="F151" s="12" t="inlineStr">
        <is>
          <t>Primær kilde i master er ny tabel, hvis feltet findes dér</t>
        </is>
      </c>
    </row>
    <row r="152">
      <c r="A152" s="12" t="inlineStr">
        <is>
          <t>Helsingør Domprovsti</t>
        </is>
      </c>
      <c r="B152" s="12" t="inlineStr">
        <is>
          <t>Indbyggertal</t>
        </is>
      </c>
      <c r="C152" s="13" t="n">
        <v>64244</v>
      </c>
      <c r="D152" s="13" t="n">
        <v>64392</v>
      </c>
      <c r="E152" s="13" t="n">
        <v>148</v>
      </c>
      <c r="F152" s="12" t="inlineStr">
        <is>
          <t>Primær kilde i master er ny tabel, hvis feltet findes dér</t>
        </is>
      </c>
    </row>
    <row r="153">
      <c r="A153" s="12" t="inlineStr">
        <is>
          <t>Helsingør Domprovsti</t>
        </is>
      </c>
      <c r="B153" s="12" t="inlineStr">
        <is>
          <t>Folkekirkemedlemmer</t>
        </is>
      </c>
      <c r="C153" s="13" t="n">
        <v>43389</v>
      </c>
      <c r="D153" s="13" t="n">
        <v>43290</v>
      </c>
      <c r="E153" s="13" t="n">
        <v>-99</v>
      </c>
      <c r="F153" s="12" t="inlineStr">
        <is>
          <t>Primær kilde i master er ny tabel, hvis feltet findes dér</t>
        </is>
      </c>
    </row>
    <row r="154">
      <c r="A154" s="12" t="inlineStr">
        <is>
          <t>Helsingør Domprovsti</t>
        </is>
      </c>
      <c r="B154" s="12" t="inlineStr">
        <is>
          <t>Medlemsprocent</t>
        </is>
      </c>
      <c r="C154" s="13" t="n">
        <v>0.675</v>
      </c>
      <c r="D154" s="13" t="n">
        <v>0.6722884830413716</v>
      </c>
      <c r="E154" s="13" t="n">
        <v>-0.002711516958628479</v>
      </c>
      <c r="F154" s="12" t="inlineStr">
        <is>
          <t>Primær kilde i master er ny tabel, hvis feltet findes dér</t>
        </is>
      </c>
    </row>
    <row r="155">
      <c r="A155" s="12" t="inlineStr">
        <is>
          <t>Helsingør Domprovsti</t>
        </is>
      </c>
      <c r="B155" s="12" t="inlineStr">
        <is>
          <t>Kirker</t>
        </is>
      </c>
      <c r="C155" s="13" t="n"/>
      <c r="D155" s="13" t="n">
        <v>12</v>
      </c>
      <c r="E155" s="13" t="n"/>
      <c r="F155" s="12" t="inlineStr">
        <is>
          <t>Mangler i en af kilderne</t>
        </is>
      </c>
    </row>
    <row r="156">
      <c r="A156" s="12" t="inlineStr">
        <is>
          <t>Helsingør Domprovsti</t>
        </is>
      </c>
      <c r="B156" s="12" t="inlineStr">
        <is>
          <t>Pastorater</t>
        </is>
      </c>
      <c r="C156" s="13" t="n"/>
      <c r="D156" s="13" t="n">
        <v>9</v>
      </c>
      <c r="E156" s="13" t="n"/>
      <c r="F156" s="12" t="inlineStr">
        <is>
          <t>Mangler i en af kilderne</t>
        </is>
      </c>
    </row>
    <row r="157">
      <c r="A157" s="12" t="inlineStr">
        <is>
          <t>Helsingør Domprovsti</t>
        </is>
      </c>
      <c r="B157" s="12" t="inlineStr">
        <is>
          <t>Lokal ligning t.kr.</t>
        </is>
      </c>
      <c r="C157" s="13" t="n">
        <v>55125</v>
      </c>
      <c r="D157" s="13" t="n">
        <v>55124.83843623724</v>
      </c>
      <c r="E157" s="13" t="n">
        <v>-0.1615637627619435</v>
      </c>
      <c r="F157" s="12" t="inlineStr">
        <is>
          <t>Primær kilde i master er ny tabel, hvis feltet findes dér</t>
        </is>
      </c>
    </row>
    <row r="158">
      <c r="A158" s="12" t="inlineStr">
        <is>
          <t>Helsingør Domprovsti</t>
        </is>
      </c>
      <c r="B158" s="12" t="inlineStr">
        <is>
          <t>Maks. stiftsbidrag 1 % (t.kr.)</t>
        </is>
      </c>
      <c r="C158" s="13" t="n">
        <v>551</v>
      </c>
      <c r="D158" s="13" t="n">
        <v>551.2483843623723</v>
      </c>
      <c r="E158" s="13" t="n">
        <v>0.2483843623723487</v>
      </c>
      <c r="F158" s="12" t="inlineStr">
        <is>
          <t>Primær kilde i master er ny tabel, hvis feltet findes dér</t>
        </is>
      </c>
    </row>
    <row r="159">
      <c r="A159" s="12" t="inlineStr">
        <is>
          <t>Hillerød Provsti</t>
        </is>
      </c>
      <c r="B159" s="12" t="inlineStr">
        <is>
          <t>Indbyggertal</t>
        </is>
      </c>
      <c r="C159" s="13" t="n">
        <v>82112</v>
      </c>
      <c r="D159" s="13" t="n">
        <v>82244</v>
      </c>
      <c r="E159" s="13" t="n">
        <v>132</v>
      </c>
      <c r="F159" s="12" t="inlineStr">
        <is>
          <t>Primær kilde i master er ny tabel, hvis feltet findes dér</t>
        </is>
      </c>
    </row>
    <row r="160">
      <c r="A160" s="12" t="inlineStr">
        <is>
          <t>Hillerød Provsti</t>
        </is>
      </c>
      <c r="B160" s="12" t="inlineStr">
        <is>
          <t>Folkekirkemedlemmer</t>
        </is>
      </c>
      <c r="C160" s="13" t="n">
        <v>56864</v>
      </c>
      <c r="D160" s="13" t="n">
        <v>56842</v>
      </c>
      <c r="E160" s="13" t="n">
        <v>-22</v>
      </c>
      <c r="F160" s="12" t="inlineStr">
        <is>
          <t>Primær kilde i master er ny tabel, hvis feltet findes dér</t>
        </is>
      </c>
    </row>
    <row r="161">
      <c r="A161" s="12" t="inlineStr">
        <is>
          <t>Hillerød Provsti</t>
        </is>
      </c>
      <c r="B161" s="12" t="inlineStr">
        <is>
          <t>Medlemsprocent</t>
        </is>
      </c>
      <c r="C161" s="13" t="n">
        <v>0.6929999999999999</v>
      </c>
      <c r="D161" s="13" t="n">
        <v>0.6911385632994504</v>
      </c>
      <c r="E161" s="13" t="n">
        <v>-0.001861436700549501</v>
      </c>
      <c r="F161" s="12" t="inlineStr">
        <is>
          <t>Primær kilde i master er ny tabel, hvis feltet findes dér</t>
        </is>
      </c>
    </row>
    <row r="162">
      <c r="A162" s="12" t="inlineStr">
        <is>
          <t>Hillerød Provsti</t>
        </is>
      </c>
      <c r="B162" s="12" t="inlineStr">
        <is>
          <t>Kirker</t>
        </is>
      </c>
      <c r="C162" s="13" t="n"/>
      <c r="D162" s="13" t="n">
        <v>25</v>
      </c>
      <c r="E162" s="13" t="n"/>
      <c r="F162" s="12" t="inlineStr">
        <is>
          <t>Mangler i en af kilderne</t>
        </is>
      </c>
    </row>
    <row r="163">
      <c r="A163" s="12" t="inlineStr">
        <is>
          <t>Hillerød Provsti</t>
        </is>
      </c>
      <c r="B163" s="12" t="inlineStr">
        <is>
          <t>Pastorater</t>
        </is>
      </c>
      <c r="C163" s="13" t="n"/>
      <c r="D163" s="13" t="n">
        <v>14</v>
      </c>
      <c r="E163" s="13" t="n"/>
      <c r="F163" s="12" t="inlineStr">
        <is>
          <t>Mangler i en af kilderne</t>
        </is>
      </c>
    </row>
    <row r="164">
      <c r="A164" s="12" t="inlineStr">
        <is>
          <t>Hillerød Provsti</t>
        </is>
      </c>
      <c r="B164" s="12" t="inlineStr">
        <is>
          <t>Lokal ligning t.kr.</t>
        </is>
      </c>
      <c r="C164" s="13" t="n">
        <v>79963</v>
      </c>
      <c r="D164" s="13" t="n">
        <v>79963.17702567035</v>
      </c>
      <c r="E164" s="13" t="n">
        <v>0.1770256703457562</v>
      </c>
      <c r="F164" s="12" t="inlineStr">
        <is>
          <t>Primær kilde i master er ny tabel, hvis feltet findes dér</t>
        </is>
      </c>
    </row>
    <row r="165">
      <c r="A165" s="12" t="inlineStr">
        <is>
          <t>Hillerød Provsti</t>
        </is>
      </c>
      <c r="B165" s="12" t="inlineStr">
        <is>
          <t>Maks. stiftsbidrag 1 % (t.kr.)</t>
        </is>
      </c>
      <c r="C165" s="13" t="n">
        <v>800</v>
      </c>
      <c r="D165" s="13" t="n">
        <v>799.6317702567035</v>
      </c>
      <c r="E165" s="13" t="n">
        <v>-0.3682297432965242</v>
      </c>
      <c r="F165" s="12" t="inlineStr">
        <is>
          <t>Primær kilde i master er ny tabel, hvis feltet findes dér</t>
        </is>
      </c>
    </row>
    <row r="166">
      <c r="A166" s="12" t="inlineStr">
        <is>
          <t>Høje Taastrup Provsti</t>
        </is>
      </c>
      <c r="B166" s="12" t="inlineStr">
        <is>
          <t>Indbyggertal</t>
        </is>
      </c>
      <c r="C166" s="13" t="n">
        <v>85143</v>
      </c>
      <c r="D166" s="13" t="n">
        <v>85576</v>
      </c>
      <c r="E166" s="13" t="n">
        <v>433</v>
      </c>
      <c r="F166" s="12" t="inlineStr">
        <is>
          <t>Primær kilde i master er ny tabel, hvis feltet findes dér</t>
        </is>
      </c>
    </row>
    <row r="167">
      <c r="A167" s="12" t="inlineStr">
        <is>
          <t>Høje Taastrup Provsti</t>
        </is>
      </c>
      <c r="B167" s="12" t="inlineStr">
        <is>
          <t>Folkekirkemedlemmer</t>
        </is>
      </c>
      <c r="C167" s="13" t="n">
        <v>37656</v>
      </c>
      <c r="D167" s="13" t="n">
        <v>37529</v>
      </c>
      <c r="E167" s="13" t="n">
        <v>-127</v>
      </c>
      <c r="F167" s="12" t="inlineStr">
        <is>
          <t>Primær kilde i master er ny tabel, hvis feltet findes dér</t>
        </is>
      </c>
    </row>
    <row r="168">
      <c r="A168" s="12" t="inlineStr">
        <is>
          <t>Høje Taastrup Provsti</t>
        </is>
      </c>
      <c r="B168" s="12" t="inlineStr">
        <is>
          <t>Medlemsprocent</t>
        </is>
      </c>
      <c r="C168" s="13" t="n">
        <v>0.442</v>
      </c>
      <c r="D168" s="13" t="n">
        <v>0.4385458539777508</v>
      </c>
      <c r="E168" s="13" t="n">
        <v>-0.003454146022249249</v>
      </c>
      <c r="F168" s="12" t="inlineStr">
        <is>
          <t>Primær kilde i master er ny tabel, hvis feltet findes dér</t>
        </is>
      </c>
    </row>
    <row r="169">
      <c r="A169" s="12" t="inlineStr">
        <is>
          <t>Høje Taastrup Provsti</t>
        </is>
      </c>
      <c r="B169" s="12" t="inlineStr">
        <is>
          <t>Kirker</t>
        </is>
      </c>
      <c r="C169" s="13" t="n"/>
      <c r="D169" s="13" t="n">
        <v>11</v>
      </c>
      <c r="E169" s="13" t="n"/>
      <c r="F169" s="12" t="inlineStr">
        <is>
          <t>Mangler i en af kilderne</t>
        </is>
      </c>
    </row>
    <row r="170">
      <c r="A170" s="12" t="inlineStr">
        <is>
          <t>Høje Taastrup Provsti</t>
        </is>
      </c>
      <c r="B170" s="12" t="inlineStr">
        <is>
          <t>Pastorater</t>
        </is>
      </c>
      <c r="C170" s="13" t="n"/>
      <c r="D170" s="13" t="n">
        <v>7</v>
      </c>
      <c r="E170" s="13" t="n"/>
      <c r="F170" s="12" t="inlineStr">
        <is>
          <t>Mangler i en af kilderne</t>
        </is>
      </c>
    </row>
    <row r="171">
      <c r="A171" s="12" t="inlineStr">
        <is>
          <t>Høje Taastrup Provsti</t>
        </is>
      </c>
      <c r="B171" s="12" t="inlineStr">
        <is>
          <t>Lokal ligning t.kr.</t>
        </is>
      </c>
      <c r="C171" s="13" t="n">
        <v>63559</v>
      </c>
      <c r="D171" s="13" t="n">
        <v>63559.28003767094</v>
      </c>
      <c r="E171" s="13" t="n">
        <v>0.2800376709419652</v>
      </c>
      <c r="F171" s="12" t="inlineStr">
        <is>
          <t>Primær kilde i master er ny tabel, hvis feltet findes dér</t>
        </is>
      </c>
    </row>
    <row r="172">
      <c r="A172" s="12" t="inlineStr">
        <is>
          <t>Høje Taastrup Provsti</t>
        </is>
      </c>
      <c r="B172" s="12" t="inlineStr">
        <is>
          <t>Maks. stiftsbidrag 1 % (t.kr.)</t>
        </is>
      </c>
      <c r="C172" s="13" t="n">
        <v>636</v>
      </c>
      <c r="D172" s="13" t="n">
        <v>635.5928003767094</v>
      </c>
      <c r="E172" s="13" t="n">
        <v>-0.4071996232905803</v>
      </c>
      <c r="F172" s="12" t="inlineStr">
        <is>
          <t>Primær kilde i master er ny tabel, hvis feltet findes dér</t>
        </is>
      </c>
    </row>
    <row r="173">
      <c r="A173" s="12" t="inlineStr">
        <is>
          <t>Kongens Lyngby Provsti</t>
        </is>
      </c>
      <c r="B173" s="12" t="inlineStr">
        <is>
          <t>Indbyggertal</t>
        </is>
      </c>
      <c r="C173" s="13" t="n">
        <v>58614</v>
      </c>
      <c r="D173" s="13" t="n">
        <v>58922</v>
      </c>
      <c r="E173" s="13" t="n">
        <v>308</v>
      </c>
      <c r="F173" s="12" t="inlineStr">
        <is>
          <t>Primær kilde i master er ny tabel, hvis feltet findes dér</t>
        </is>
      </c>
    </row>
    <row r="174">
      <c r="A174" s="12" t="inlineStr">
        <is>
          <t>Kongens Lyngby Provsti</t>
        </is>
      </c>
      <c r="B174" s="12" t="inlineStr">
        <is>
          <t>Folkekirkemedlemmer</t>
        </is>
      </c>
      <c r="C174" s="13" t="n">
        <v>36599</v>
      </c>
      <c r="D174" s="13" t="n">
        <v>36601</v>
      </c>
      <c r="E174" s="13" t="n">
        <v>2</v>
      </c>
      <c r="F174" s="12" t="inlineStr">
        <is>
          <t>Primær kilde i master er ny tabel, hvis feltet findes dér</t>
        </is>
      </c>
    </row>
    <row r="175">
      <c r="A175" s="12" t="inlineStr">
        <is>
          <t>Kongens Lyngby Provsti</t>
        </is>
      </c>
      <c r="B175" s="12" t="inlineStr">
        <is>
          <t>Medlemsprocent</t>
        </is>
      </c>
      <c r="C175" s="13" t="n">
        <v>0.624</v>
      </c>
      <c r="D175" s="13" t="n">
        <v>0.6211771494518177</v>
      </c>
      <c r="E175" s="13" t="n">
        <v>-0.002822850548182321</v>
      </c>
      <c r="F175" s="12" t="inlineStr">
        <is>
          <t>Primær kilde i master er ny tabel, hvis feltet findes dér</t>
        </is>
      </c>
    </row>
    <row r="176">
      <c r="A176" s="12" t="inlineStr">
        <is>
          <t>Kongens Lyngby Provsti</t>
        </is>
      </c>
      <c r="B176" s="12" t="inlineStr">
        <is>
          <t>Kirker</t>
        </is>
      </c>
      <c r="C176" s="13" t="n"/>
      <c r="D176" s="13" t="n">
        <v>10</v>
      </c>
      <c r="E176" s="13" t="n"/>
      <c r="F176" s="12" t="inlineStr">
        <is>
          <t>Mangler i en af kilderne</t>
        </is>
      </c>
    </row>
    <row r="177">
      <c r="A177" s="12" t="inlineStr">
        <is>
          <t>Kongens Lyngby Provsti</t>
        </is>
      </c>
      <c r="B177" s="12" t="inlineStr">
        <is>
          <t>Pastorater</t>
        </is>
      </c>
      <c r="C177" s="13" t="n"/>
      <c r="D177" s="13" t="n">
        <v>6</v>
      </c>
      <c r="E177" s="13" t="n"/>
      <c r="F177" s="12" t="inlineStr">
        <is>
          <t>Mangler i en af kilderne</t>
        </is>
      </c>
    </row>
    <row r="178">
      <c r="A178" s="12" t="inlineStr">
        <is>
          <t>Kongens Lyngby Provsti</t>
        </is>
      </c>
      <c r="B178" s="12" t="inlineStr">
        <is>
          <t>Lokal ligning t.kr.</t>
        </is>
      </c>
      <c r="C178" s="13" t="n">
        <v>63228</v>
      </c>
      <c r="D178" s="13" t="n">
        <v>63228.43109959533</v>
      </c>
      <c r="E178" s="13" t="n">
        <v>0.4310995953346719</v>
      </c>
      <c r="F178" s="12" t="inlineStr">
        <is>
          <t>Primær kilde i master er ny tabel, hvis feltet findes dér</t>
        </is>
      </c>
    </row>
    <row r="179">
      <c r="A179" s="12" t="inlineStr">
        <is>
          <t>Kongens Lyngby Provsti</t>
        </is>
      </c>
      <c r="B179" s="12" t="inlineStr">
        <is>
          <t>Maks. stiftsbidrag 1 % (t.kr.)</t>
        </is>
      </c>
      <c r="C179" s="13" t="n">
        <v>632</v>
      </c>
      <c r="D179" s="13" t="n">
        <v>632.2843109959534</v>
      </c>
      <c r="E179" s="13" t="n">
        <v>0.2843109959534331</v>
      </c>
      <c r="F179" s="12" t="inlineStr">
        <is>
          <t>Primær kilde i master er ny tabel, hvis feltet findes dér</t>
        </is>
      </c>
    </row>
    <row r="180">
      <c r="A180" s="12" t="inlineStr">
        <is>
          <t>Rudersdal Provsti</t>
        </is>
      </c>
      <c r="B180" s="12" t="inlineStr">
        <is>
          <t>Indbyggertal</t>
        </is>
      </c>
      <c r="C180" s="13" t="n">
        <v>57912</v>
      </c>
      <c r="D180" s="13" t="n">
        <v>58077</v>
      </c>
      <c r="E180" s="13" t="n">
        <v>165</v>
      </c>
      <c r="F180" s="12" t="inlineStr">
        <is>
          <t>Primær kilde i master er ny tabel, hvis feltet findes dér</t>
        </is>
      </c>
    </row>
    <row r="181">
      <c r="A181" s="12" t="inlineStr">
        <is>
          <t>Rudersdal Provsti</t>
        </is>
      </c>
      <c r="B181" s="12" t="inlineStr">
        <is>
          <t>Folkekirkemedlemmer</t>
        </is>
      </c>
      <c r="C181" s="13" t="n">
        <v>39159</v>
      </c>
      <c r="D181" s="13" t="n">
        <v>39123</v>
      </c>
      <c r="E181" s="13" t="n">
        <v>-36</v>
      </c>
      <c r="F181" s="12" t="inlineStr">
        <is>
          <t>Primær kilde i master er ny tabel, hvis feltet findes dér</t>
        </is>
      </c>
    </row>
    <row r="182">
      <c r="A182" s="12" t="inlineStr">
        <is>
          <t>Rudersdal Provsti</t>
        </is>
      </c>
      <c r="B182" s="12" t="inlineStr">
        <is>
          <t>Medlemsprocent</t>
        </is>
      </c>
      <c r="C182" s="13" t="n">
        <v>0.6759999999999999</v>
      </c>
      <c r="D182" s="13" t="n">
        <v>0.6736401673640168</v>
      </c>
      <c r="E182" s="13" t="n">
        <v>-0.002359832635983161</v>
      </c>
      <c r="F182" s="12" t="inlineStr">
        <is>
          <t>Primær kilde i master er ny tabel, hvis feltet findes dér</t>
        </is>
      </c>
    </row>
    <row r="183">
      <c r="A183" s="12" t="inlineStr">
        <is>
          <t>Rudersdal Provsti</t>
        </is>
      </c>
      <c r="B183" s="12" t="inlineStr">
        <is>
          <t>Kirker</t>
        </is>
      </c>
      <c r="C183" s="13" t="n"/>
      <c r="D183" s="13" t="n">
        <v>11</v>
      </c>
      <c r="E183" s="13" t="n"/>
      <c r="F183" s="12" t="inlineStr">
        <is>
          <t>Mangler i en af kilderne</t>
        </is>
      </c>
    </row>
    <row r="184">
      <c r="A184" s="12" t="inlineStr">
        <is>
          <t>Rudersdal Provsti</t>
        </is>
      </c>
      <c r="B184" s="12" t="inlineStr">
        <is>
          <t>Pastorater</t>
        </is>
      </c>
      <c r="C184" s="13" t="n"/>
      <c r="D184" s="13" t="n">
        <v>8</v>
      </c>
      <c r="E184" s="13" t="n"/>
      <c r="F184" s="12" t="inlineStr">
        <is>
          <t>Mangler i en af kilderne</t>
        </is>
      </c>
    </row>
    <row r="185">
      <c r="A185" s="12" t="inlineStr">
        <is>
          <t>Rudersdal Provsti</t>
        </is>
      </c>
      <c r="B185" s="12" t="inlineStr">
        <is>
          <t>Lokal ligning t.kr.</t>
        </is>
      </c>
      <c r="C185" s="13" t="n">
        <v>66612</v>
      </c>
      <c r="D185" s="13" t="n">
        <v>66611.50824923345</v>
      </c>
      <c r="E185" s="13" t="n">
        <v>-0.4917507665522862</v>
      </c>
      <c r="F185" s="12" t="inlineStr">
        <is>
          <t>Primær kilde i master er ny tabel, hvis feltet findes dér</t>
        </is>
      </c>
    </row>
    <row r="186">
      <c r="A186" s="12" t="inlineStr">
        <is>
          <t>Rudersdal Provsti</t>
        </is>
      </c>
      <c r="B186" s="12" t="inlineStr">
        <is>
          <t>Maks. stiftsbidrag 1 % (t.kr.)</t>
        </is>
      </c>
      <c r="C186" s="13" t="n">
        <v>666</v>
      </c>
      <c r="D186" s="13" t="n">
        <v>666.1150824923345</v>
      </c>
      <c r="E186" s="13" t="n">
        <v>0.1150824923345226</v>
      </c>
      <c r="F186" s="12" t="inlineStr">
        <is>
          <t>Primær kilde i master er ny tabel, hvis feltet findes dér</t>
        </is>
      </c>
    </row>
    <row r="187">
      <c r="A187" s="12" t="inlineStr">
        <is>
          <t>Rødovre-Hvidovre Provsti</t>
        </is>
      </c>
      <c r="B187" s="12" t="inlineStr">
        <is>
          <t>Indbyggertal</t>
        </is>
      </c>
      <c r="C187" s="13" t="n">
        <v>99366</v>
      </c>
      <c r="D187" s="13" t="n">
        <v>99291</v>
      </c>
      <c r="E187" s="13" t="n">
        <v>-75</v>
      </c>
      <c r="F187" s="12" t="inlineStr">
        <is>
          <t>Primær kilde i master er ny tabel, hvis feltet findes dér</t>
        </is>
      </c>
    </row>
    <row r="188">
      <c r="A188" s="12" t="inlineStr">
        <is>
          <t>Rødovre-Hvidovre Provsti</t>
        </is>
      </c>
      <c r="B188" s="12" t="inlineStr">
        <is>
          <t>Folkekirkemedlemmer</t>
        </is>
      </c>
      <c r="C188" s="13" t="n">
        <v>56543</v>
      </c>
      <c r="D188" s="13" t="n">
        <v>56326</v>
      </c>
      <c r="E188" s="13" t="n">
        <v>-217</v>
      </c>
      <c r="F188" s="12" t="inlineStr">
        <is>
          <t>Primær kilde i master er ny tabel, hvis feltet findes dér</t>
        </is>
      </c>
    </row>
    <row r="189">
      <c r="A189" s="12" t="inlineStr">
        <is>
          <t>Rødovre-Hvidovre Provsti</t>
        </is>
      </c>
      <c r="B189" s="12" t="inlineStr">
        <is>
          <t>Medlemsprocent</t>
        </is>
      </c>
      <c r="C189" s="13" t="n">
        <v>0.569</v>
      </c>
      <c r="D189" s="13" t="n">
        <v>0.5672820295897916</v>
      </c>
      <c r="E189" s="13" t="n">
        <v>-0.00171797041020838</v>
      </c>
      <c r="F189" s="12" t="inlineStr">
        <is>
          <t>Primær kilde i master er ny tabel, hvis feltet findes dér</t>
        </is>
      </c>
    </row>
    <row r="190">
      <c r="A190" s="12" t="inlineStr">
        <is>
          <t>Rødovre-Hvidovre Provsti</t>
        </is>
      </c>
      <c r="B190" s="12" t="inlineStr">
        <is>
          <t>Kirker</t>
        </is>
      </c>
      <c r="C190" s="13" t="n"/>
      <c r="D190" s="13" t="n">
        <v>14</v>
      </c>
      <c r="E190" s="13" t="n"/>
      <c r="F190" s="12" t="inlineStr">
        <is>
          <t>Mangler i en af kilderne</t>
        </is>
      </c>
    </row>
    <row r="191">
      <c r="A191" s="12" t="inlineStr">
        <is>
          <t>Rødovre-Hvidovre Provsti</t>
        </is>
      </c>
      <c r="B191" s="12" t="inlineStr">
        <is>
          <t>Pastorater</t>
        </is>
      </c>
      <c r="C191" s="13" t="n"/>
      <c r="D191" s="13" t="n">
        <v>8</v>
      </c>
      <c r="E191" s="13" t="n"/>
      <c r="F191" s="12" t="inlineStr">
        <is>
          <t>Mangler i en af kilderne</t>
        </is>
      </c>
    </row>
    <row r="192">
      <c r="A192" s="12" t="inlineStr">
        <is>
          <t>Rødovre-Hvidovre Provsti</t>
        </is>
      </c>
      <c r="B192" s="12" t="inlineStr">
        <is>
          <t>Lokal ligning t.kr.</t>
        </is>
      </c>
      <c r="C192" s="13" t="n">
        <v>80698</v>
      </c>
      <c r="D192" s="13" t="n">
        <v>80698.24954715314</v>
      </c>
      <c r="E192" s="13" t="n">
        <v>0.2495471531437943</v>
      </c>
      <c r="F192" s="12" t="inlineStr">
        <is>
          <t>Primær kilde i master er ny tabel, hvis feltet findes dér</t>
        </is>
      </c>
    </row>
    <row r="193">
      <c r="A193" s="12" t="inlineStr">
        <is>
          <t>Rødovre-Hvidovre Provsti</t>
        </is>
      </c>
      <c r="B193" s="12" t="inlineStr">
        <is>
          <t>Maks. stiftsbidrag 1 % (t.kr.)</t>
        </is>
      </c>
      <c r="C193" s="13" t="n">
        <v>807</v>
      </c>
      <c r="D193" s="13" t="n">
        <v>806.9824954715315</v>
      </c>
      <c r="E193" s="13" t="n">
        <v>-0.01750452846852113</v>
      </c>
      <c r="F193" s="12" t="inlineStr">
        <is>
          <t>Primær kilde i master er ny tabel, hvis feltet findes dér</t>
        </is>
      </c>
    </row>
    <row r="194">
      <c r="A194" s="12" t="inlineStr">
        <is>
          <t>Amagerbro Provsti</t>
        </is>
      </c>
      <c r="B194" s="12" t="inlineStr">
        <is>
          <t>Indbyggertal</t>
        </is>
      </c>
      <c r="C194" s="13" t="n">
        <v>169102</v>
      </c>
      <c r="D194" s="13" t="n">
        <v>170117</v>
      </c>
      <c r="E194" s="13" t="n">
        <v>1015</v>
      </c>
      <c r="F194" s="12" t="inlineStr">
        <is>
          <t>Primær kilde i master er ny tabel, hvis feltet findes dér</t>
        </is>
      </c>
    </row>
    <row r="195">
      <c r="A195" s="12" t="inlineStr">
        <is>
          <t>Amagerbro Provsti</t>
        </is>
      </c>
      <c r="B195" s="12" t="inlineStr">
        <is>
          <t>Folkekirkemedlemmer</t>
        </is>
      </c>
      <c r="C195" s="13" t="n">
        <v>82371</v>
      </c>
      <c r="D195" s="13" t="n">
        <v>82209</v>
      </c>
      <c r="E195" s="13" t="n">
        <v>-162</v>
      </c>
      <c r="F195" s="12" t="inlineStr">
        <is>
          <t>Primær kilde i master er ny tabel, hvis feltet findes dér</t>
        </is>
      </c>
    </row>
    <row r="196">
      <c r="A196" s="12" t="inlineStr">
        <is>
          <t>Amagerbro Provsti</t>
        </is>
      </c>
      <c r="B196" s="12" t="inlineStr">
        <is>
          <t>Medlemsprocent</t>
        </is>
      </c>
      <c r="C196" s="13" t="n">
        <v>0.487</v>
      </c>
      <c r="D196" s="13" t="n">
        <v>0.4832497633981319</v>
      </c>
      <c r="E196" s="13" t="n">
        <v>-0.003750236601868184</v>
      </c>
      <c r="F196" s="12" t="inlineStr">
        <is>
          <t>Primær kilde i master er ny tabel, hvis feltet findes dér</t>
        </is>
      </c>
    </row>
    <row r="197">
      <c r="A197" s="12" t="inlineStr">
        <is>
          <t>Amagerbro Provsti</t>
        </is>
      </c>
      <c r="B197" s="12" t="inlineStr">
        <is>
          <t>Kirker</t>
        </is>
      </c>
      <c r="C197" s="13" t="n"/>
      <c r="D197" s="13" t="n">
        <v>16</v>
      </c>
      <c r="E197" s="13" t="n"/>
      <c r="F197" s="12" t="inlineStr">
        <is>
          <t>Mangler i en af kilderne</t>
        </is>
      </c>
    </row>
    <row r="198">
      <c r="A198" s="12" t="inlineStr">
        <is>
          <t>Amagerbro Provsti</t>
        </is>
      </c>
      <c r="B198" s="12" t="inlineStr">
        <is>
          <t>Pastorater</t>
        </is>
      </c>
      <c r="C198" s="13" t="n"/>
      <c r="D198" s="13" t="n">
        <v>10</v>
      </c>
      <c r="E198" s="13" t="n"/>
      <c r="F198" s="12" t="inlineStr">
        <is>
          <t>Mangler i en af kilderne</t>
        </is>
      </c>
    </row>
    <row r="199">
      <c r="A199" s="12" t="inlineStr">
        <is>
          <t>Amagerbro Provsti</t>
        </is>
      </c>
      <c r="B199" s="12" t="inlineStr">
        <is>
          <t>Lokal ligning t.kr.</t>
        </is>
      </c>
      <c r="C199" s="13" t="n">
        <v>98592</v>
      </c>
      <c r="D199" s="13" t="n"/>
      <c r="E199" s="13" t="n"/>
      <c r="F199" s="12" t="inlineStr">
        <is>
          <t>Mangler i en af kilderne</t>
        </is>
      </c>
    </row>
    <row r="200">
      <c r="A200" s="12" t="inlineStr">
        <is>
          <t>Amagerbro Provsti</t>
        </is>
      </c>
      <c r="B200" s="12" t="inlineStr">
        <is>
          <t>Maks. stiftsbidrag 1 % (t.kr.)</t>
        </is>
      </c>
      <c r="C200" s="13" t="n">
        <v>986</v>
      </c>
      <c r="D200" s="13" t="n">
        <v>0</v>
      </c>
      <c r="E200" s="13" t="n">
        <v>-986</v>
      </c>
      <c r="F200" s="12" t="inlineStr">
        <is>
          <t>Primær kilde i master er ny tabel, hvis feltet findes dér</t>
        </is>
      </c>
    </row>
    <row r="201">
      <c r="A201" s="12" t="inlineStr">
        <is>
          <t>Amagerland Provsti</t>
        </is>
      </c>
      <c r="B201" s="12" t="inlineStr">
        <is>
          <t>Indbyggertal</t>
        </is>
      </c>
      <c r="C201" s="13" t="n">
        <v>58688</v>
      </c>
      <c r="D201" s="13" t="n">
        <v>58698</v>
      </c>
      <c r="E201" s="13" t="n">
        <v>10</v>
      </c>
      <c r="F201" s="12" t="inlineStr">
        <is>
          <t>Primær kilde i master er ny tabel, hvis feltet findes dér</t>
        </is>
      </c>
    </row>
    <row r="202">
      <c r="A202" s="12" t="inlineStr">
        <is>
          <t>Amagerland Provsti</t>
        </is>
      </c>
      <c r="B202" s="12" t="inlineStr">
        <is>
          <t>Folkekirkemedlemmer</t>
        </is>
      </c>
      <c r="C202" s="13" t="n">
        <v>40501</v>
      </c>
      <c r="D202" s="13" t="n">
        <v>40442</v>
      </c>
      <c r="E202" s="13" t="n">
        <v>-59</v>
      </c>
      <c r="F202" s="12" t="inlineStr">
        <is>
          <t>Primær kilde i master er ny tabel, hvis feltet findes dér</t>
        </is>
      </c>
    </row>
    <row r="203">
      <c r="A203" s="12" t="inlineStr">
        <is>
          <t>Amagerland Provsti</t>
        </is>
      </c>
      <c r="B203" s="12" t="inlineStr">
        <is>
          <t>Medlemsprocent</t>
        </is>
      </c>
      <c r="C203" s="13" t="n">
        <v>0.6899999999999999</v>
      </c>
      <c r="D203" s="13" t="n">
        <v>0.6889842924801527</v>
      </c>
      <c r="E203" s="13" t="n">
        <v>-0.001015707519847253</v>
      </c>
      <c r="F203" s="12" t="inlineStr">
        <is>
          <t>Primær kilde i master er ny tabel, hvis feltet findes dér</t>
        </is>
      </c>
    </row>
    <row r="204">
      <c r="A204" s="12" t="inlineStr">
        <is>
          <t>Amagerland Provsti</t>
        </is>
      </c>
      <c r="B204" s="12" t="inlineStr">
        <is>
          <t>Kirker</t>
        </is>
      </c>
      <c r="C204" s="13" t="n"/>
      <c r="D204" s="13" t="n">
        <v>9</v>
      </c>
      <c r="E204" s="13" t="n"/>
      <c r="F204" s="12" t="inlineStr">
        <is>
          <t>Mangler i en af kilderne</t>
        </is>
      </c>
    </row>
    <row r="205">
      <c r="A205" s="12" t="inlineStr">
        <is>
          <t>Amagerland Provsti</t>
        </is>
      </c>
      <c r="B205" s="12" t="inlineStr">
        <is>
          <t>Pastorater</t>
        </is>
      </c>
      <c r="C205" s="13" t="n"/>
      <c r="D205" s="13" t="n">
        <v>6</v>
      </c>
      <c r="E205" s="13" t="n"/>
      <c r="F205" s="12" t="inlineStr">
        <is>
          <t>Mangler i en af kilderne</t>
        </is>
      </c>
    </row>
    <row r="206">
      <c r="A206" s="12" t="inlineStr">
        <is>
          <t>Amagerland Provsti</t>
        </is>
      </c>
      <c r="B206" s="12" t="inlineStr">
        <is>
          <t>Lokal ligning t.kr.</t>
        </is>
      </c>
      <c r="C206" s="13" t="n">
        <v>48689</v>
      </c>
      <c r="D206" s="13" t="n">
        <v>48688.61047352199</v>
      </c>
      <c r="E206" s="13" t="n">
        <v>-0.3895264780076104</v>
      </c>
      <c r="F206" s="12" t="inlineStr">
        <is>
          <t>Primær kilde i master er ny tabel, hvis feltet findes dér</t>
        </is>
      </c>
    </row>
    <row r="207">
      <c r="A207" s="12" t="inlineStr">
        <is>
          <t>Amagerland Provsti</t>
        </is>
      </c>
      <c r="B207" s="12" t="inlineStr">
        <is>
          <t>Maks. stiftsbidrag 1 % (t.kr.)</t>
        </is>
      </c>
      <c r="C207" s="13" t="n">
        <v>487</v>
      </c>
      <c r="D207" s="13" t="n">
        <v>486.8861047352199</v>
      </c>
      <c r="E207" s="13" t="n">
        <v>-0.1138952647800693</v>
      </c>
      <c r="F207" s="12" t="inlineStr">
        <is>
          <t>Primær kilde i master er ny tabel, hvis feltet findes dér</t>
        </is>
      </c>
    </row>
    <row r="208">
      <c r="A208" s="12" t="inlineStr">
        <is>
          <t>Bispebjerg-Brønshøj Provsti</t>
        </is>
      </c>
      <c r="B208" s="12" t="inlineStr">
        <is>
          <t>Indbyggertal</t>
        </is>
      </c>
      <c r="C208" s="13" t="n">
        <v>96325</v>
      </c>
      <c r="D208" s="13" t="n">
        <v>96440</v>
      </c>
      <c r="E208" s="13" t="n">
        <v>115</v>
      </c>
      <c r="F208" s="12" t="inlineStr">
        <is>
          <t>Primær kilde i master er ny tabel, hvis feltet findes dér</t>
        </is>
      </c>
    </row>
    <row r="209">
      <c r="A209" s="12" t="inlineStr">
        <is>
          <t>Bispebjerg-Brønshøj Provsti</t>
        </is>
      </c>
      <c r="B209" s="12" t="inlineStr">
        <is>
          <t>Folkekirkemedlemmer</t>
        </is>
      </c>
      <c r="C209" s="13" t="n">
        <v>40563</v>
      </c>
      <c r="D209" s="13" t="n">
        <v>40597</v>
      </c>
      <c r="E209" s="13" t="n">
        <v>34</v>
      </c>
      <c r="F209" s="12" t="inlineStr">
        <is>
          <t>Primær kilde i master er ny tabel, hvis feltet findes dér</t>
        </is>
      </c>
    </row>
    <row r="210">
      <c r="A210" s="12" t="inlineStr">
        <is>
          <t>Bispebjerg-Brønshøj Provsti</t>
        </is>
      </c>
      <c r="B210" s="12" t="inlineStr">
        <is>
          <t>Kirker</t>
        </is>
      </c>
      <c r="C210" s="13" t="n"/>
      <c r="D210" s="13" t="n">
        <v>14</v>
      </c>
      <c r="E210" s="13" t="n"/>
      <c r="F210" s="12" t="inlineStr">
        <is>
          <t>Mangler i en af kilderne</t>
        </is>
      </c>
    </row>
    <row r="211">
      <c r="A211" s="12" t="inlineStr">
        <is>
          <t>Bispebjerg-Brønshøj Provsti</t>
        </is>
      </c>
      <c r="B211" s="12" t="inlineStr">
        <is>
          <t>Pastorater</t>
        </is>
      </c>
      <c r="C211" s="13" t="n"/>
      <c r="D211" s="13" t="n">
        <v>9</v>
      </c>
      <c r="E211" s="13" t="n"/>
      <c r="F211" s="12" t="inlineStr">
        <is>
          <t>Mangler i en af kilderne</t>
        </is>
      </c>
    </row>
    <row r="212">
      <c r="A212" s="12" t="inlineStr">
        <is>
          <t>Bispebjerg-Brønshøj Provsti</t>
        </is>
      </c>
      <c r="B212" s="12" t="inlineStr">
        <is>
          <t>Lokal ligning t.kr.</t>
        </is>
      </c>
      <c r="C212" s="13" t="n">
        <v>98592</v>
      </c>
      <c r="D212" s="13" t="n"/>
      <c r="E212" s="13" t="n"/>
      <c r="F212" s="12" t="inlineStr">
        <is>
          <t>Mangler i en af kilderne</t>
        </is>
      </c>
    </row>
    <row r="213">
      <c r="A213" s="12" t="inlineStr">
        <is>
          <t>Bispebjerg-Brønshøj Provsti</t>
        </is>
      </c>
      <c r="B213" s="12" t="inlineStr">
        <is>
          <t>Maks. stiftsbidrag 1 % (t.kr.)</t>
        </is>
      </c>
      <c r="C213" s="13" t="n">
        <v>986</v>
      </c>
      <c r="D213" s="13" t="n">
        <v>0</v>
      </c>
      <c r="E213" s="13" t="n">
        <v>-986</v>
      </c>
      <c r="F213" s="12" t="inlineStr">
        <is>
          <t>Primær kilde i master er ny tabel, hvis feltet findes dér</t>
        </is>
      </c>
    </row>
    <row r="214">
      <c r="A214" s="12" t="inlineStr">
        <is>
          <t>Bornholms Provsti</t>
        </is>
      </c>
      <c r="B214" s="12" t="inlineStr">
        <is>
          <t>Indbyggertal</t>
        </is>
      </c>
      <c r="C214" s="13" t="n">
        <v>38769</v>
      </c>
      <c r="D214" s="13" t="n">
        <v>38703</v>
      </c>
      <c r="E214" s="13" t="n">
        <v>-66</v>
      </c>
      <c r="F214" s="12" t="inlineStr">
        <is>
          <t>Primær kilde i master er ny tabel, hvis feltet findes dér</t>
        </is>
      </c>
    </row>
    <row r="215">
      <c r="A215" s="12" t="inlineStr">
        <is>
          <t>Bornholms Provsti</t>
        </is>
      </c>
      <c r="B215" s="12" t="inlineStr">
        <is>
          <t>Folkekirkemedlemmer</t>
        </is>
      </c>
      <c r="C215" s="13" t="n">
        <v>29178</v>
      </c>
      <c r="D215" s="13" t="n">
        <v>29081</v>
      </c>
      <c r="E215" s="13" t="n">
        <v>-97</v>
      </c>
      <c r="F215" s="12" t="inlineStr">
        <is>
          <t>Primær kilde i master er ny tabel, hvis feltet findes dér</t>
        </is>
      </c>
    </row>
    <row r="216">
      <c r="A216" s="12" t="inlineStr">
        <is>
          <t>Bornholms Provsti</t>
        </is>
      </c>
      <c r="B216" s="12" t="inlineStr">
        <is>
          <t>Medlemsprocent</t>
        </is>
      </c>
      <c r="C216" s="13" t="n">
        <v>0.753</v>
      </c>
      <c r="D216" s="13" t="n">
        <v>0.751388781231429</v>
      </c>
      <c r="E216" s="13" t="n">
        <v>-0.001611218768570954</v>
      </c>
      <c r="F216" s="12" t="inlineStr">
        <is>
          <t>Primær kilde i master er ny tabel, hvis feltet findes dér</t>
        </is>
      </c>
    </row>
    <row r="217">
      <c r="A217" s="12" t="inlineStr">
        <is>
          <t>Bornholms Provsti</t>
        </is>
      </c>
      <c r="B217" s="12" t="inlineStr">
        <is>
          <t>Kirker</t>
        </is>
      </c>
      <c r="C217" s="13" t="n"/>
      <c r="D217" s="13" t="n">
        <v>29</v>
      </c>
      <c r="E217" s="13" t="n"/>
      <c r="F217" s="12" t="inlineStr">
        <is>
          <t>Mangler i en af kilderne</t>
        </is>
      </c>
    </row>
    <row r="218">
      <c r="A218" s="12" t="inlineStr">
        <is>
          <t>Bornholms Provsti</t>
        </is>
      </c>
      <c r="B218" s="12" t="inlineStr">
        <is>
          <t>Pastorater</t>
        </is>
      </c>
      <c r="C218" s="13" t="n"/>
      <c r="D218" s="13" t="n">
        <v>14</v>
      </c>
      <c r="E218" s="13" t="n"/>
      <c r="F218" s="12" t="inlineStr">
        <is>
          <t>Mangler i en af kilderne</t>
        </is>
      </c>
    </row>
    <row r="219">
      <c r="A219" s="12" t="inlineStr">
        <is>
          <t>Bornholms Provsti</t>
        </is>
      </c>
      <c r="B219" s="12" t="inlineStr">
        <is>
          <t>Lokal ligning t.kr.</t>
        </is>
      </c>
      <c r="C219" s="13" t="n">
        <v>49111</v>
      </c>
      <c r="D219" s="13" t="n">
        <v>49111.13704636883</v>
      </c>
      <c r="E219" s="13" t="n">
        <v>0.1370463688290329</v>
      </c>
      <c r="F219" s="12" t="inlineStr">
        <is>
          <t>Primær kilde i master er ny tabel, hvis feltet findes dér</t>
        </is>
      </c>
    </row>
    <row r="220">
      <c r="A220" s="12" t="inlineStr">
        <is>
          <t>Bornholms Provsti</t>
        </is>
      </c>
      <c r="B220" s="12" t="inlineStr">
        <is>
          <t>Maks. stiftsbidrag 1 % (t.kr.)</t>
        </is>
      </c>
      <c r="C220" s="13" t="n">
        <v>491</v>
      </c>
      <c r="D220" s="13" t="n">
        <v>491.1113704636883</v>
      </c>
      <c r="E220" s="13" t="n">
        <v>0.1113704636883313</v>
      </c>
      <c r="F220" s="12" t="inlineStr">
        <is>
          <t>Primær kilde i master er ny tabel, hvis feltet findes dér</t>
        </is>
      </c>
    </row>
    <row r="221">
      <c r="A221" s="12" t="inlineStr">
        <is>
          <t>Frederiksberg Provsti</t>
        </is>
      </c>
      <c r="B221" s="12" t="inlineStr">
        <is>
          <t>Indbyggertal</t>
        </is>
      </c>
      <c r="C221" s="13" t="n">
        <v>106150</v>
      </c>
      <c r="D221" s="13" t="n">
        <v>106433</v>
      </c>
      <c r="E221" s="13" t="n">
        <v>283</v>
      </c>
      <c r="F221" s="12" t="inlineStr">
        <is>
          <t>Primær kilde i master er ny tabel, hvis feltet findes dér</t>
        </is>
      </c>
    </row>
    <row r="222">
      <c r="A222" s="12" t="inlineStr">
        <is>
          <t>Frederiksberg Provsti</t>
        </is>
      </c>
      <c r="B222" s="12" t="inlineStr">
        <is>
          <t>Folkekirkemedlemmer</t>
        </is>
      </c>
      <c r="C222" s="13" t="n">
        <v>61427</v>
      </c>
      <c r="D222" s="13" t="n">
        <v>61301</v>
      </c>
      <c r="E222" s="13" t="n">
        <v>-126</v>
      </c>
      <c r="F222" s="12" t="inlineStr">
        <is>
          <t>Primær kilde i master er ny tabel, hvis feltet findes dér</t>
        </is>
      </c>
    </row>
    <row r="223">
      <c r="A223" s="12" t="inlineStr">
        <is>
          <t>Frederiksberg Provsti</t>
        </is>
      </c>
      <c r="B223" s="12" t="inlineStr">
        <is>
          <t>Medlemsprocent</t>
        </is>
      </c>
      <c r="C223" s="13" t="n">
        <v>0.579</v>
      </c>
      <c r="D223" s="13" t="n">
        <v>0.5759585842736745</v>
      </c>
      <c r="E223" s="13" t="n">
        <v>-0.003041415726325436</v>
      </c>
      <c r="F223" s="12" t="inlineStr">
        <is>
          <t>Primær kilde i master er ny tabel, hvis feltet findes dér</t>
        </is>
      </c>
    </row>
    <row r="224">
      <c r="A224" s="12" t="inlineStr">
        <is>
          <t>Frederiksberg Provsti</t>
        </is>
      </c>
      <c r="B224" s="12" t="inlineStr">
        <is>
          <t>Kirker</t>
        </is>
      </c>
      <c r="C224" s="13" t="n"/>
      <c r="D224" s="13" t="n">
        <v>18</v>
      </c>
      <c r="E224" s="13" t="n"/>
      <c r="F224" s="12" t="inlineStr">
        <is>
          <t>Mangler i en af kilderne</t>
        </is>
      </c>
    </row>
    <row r="225">
      <c r="A225" s="12" t="inlineStr">
        <is>
          <t>Frederiksberg Provsti</t>
        </is>
      </c>
      <c r="B225" s="12" t="inlineStr">
        <is>
          <t>Pastorater</t>
        </is>
      </c>
      <c r="C225" s="13" t="n"/>
      <c r="D225" s="13" t="n">
        <v>9</v>
      </c>
      <c r="E225" s="13" t="n"/>
      <c r="F225" s="12" t="inlineStr">
        <is>
          <t>Mangler i en af kilderne</t>
        </is>
      </c>
    </row>
    <row r="226">
      <c r="A226" s="12" t="inlineStr">
        <is>
          <t>Frederiksberg Provsti</t>
        </is>
      </c>
      <c r="B226" s="12" t="inlineStr">
        <is>
          <t>Lokal ligning t.kr.</t>
        </is>
      </c>
      <c r="C226" s="13" t="n">
        <v>70094</v>
      </c>
      <c r="D226" s="13" t="n">
        <v>70094.21407146062</v>
      </c>
      <c r="E226" s="13" t="n">
        <v>0.2140714606211986</v>
      </c>
      <c r="F226" s="12" t="inlineStr">
        <is>
          <t>Primær kilde i master er ny tabel, hvis feltet findes dér</t>
        </is>
      </c>
    </row>
    <row r="227">
      <c r="A227" s="12" t="inlineStr">
        <is>
          <t>Frederiksberg Provsti</t>
        </is>
      </c>
      <c r="B227" s="12" t="inlineStr">
        <is>
          <t>Maks. stiftsbidrag 1 % (t.kr.)</t>
        </is>
      </c>
      <c r="C227" s="13" t="n">
        <v>701</v>
      </c>
      <c r="D227" s="13" t="n">
        <v>700.9421407146061</v>
      </c>
      <c r="E227" s="13" t="n">
        <v>-0.05785928539387442</v>
      </c>
      <c r="F227" s="12" t="inlineStr">
        <is>
          <t>Primær kilde i master er ny tabel, hvis feltet findes dér</t>
        </is>
      </c>
    </row>
    <row r="228">
      <c r="A228" s="12" t="inlineStr">
        <is>
          <t>Holmens og Østerbro Provsti</t>
        </is>
      </c>
      <c r="B228" s="12" t="inlineStr">
        <is>
          <t>Indbyggertal</t>
        </is>
      </c>
      <c r="C228" s="13" t="n">
        <v>112465</v>
      </c>
      <c r="D228" s="13" t="n">
        <v>112850</v>
      </c>
      <c r="E228" s="13" t="n">
        <v>385</v>
      </c>
      <c r="F228" s="12" t="inlineStr">
        <is>
          <t>Primær kilde i master er ny tabel, hvis feltet findes dér</t>
        </is>
      </c>
    </row>
    <row r="229">
      <c r="A229" s="12" t="inlineStr">
        <is>
          <t>Holmens og Østerbro Provsti</t>
        </is>
      </c>
      <c r="B229" s="12" t="inlineStr">
        <is>
          <t>Folkekirkemedlemmer</t>
        </is>
      </c>
      <c r="C229" s="13" t="n">
        <v>61501</v>
      </c>
      <c r="D229" s="13" t="n">
        <v>61354</v>
      </c>
      <c r="E229" s="13" t="n">
        <v>-147</v>
      </c>
      <c r="F229" s="12" t="inlineStr">
        <is>
          <t>Primær kilde i master er ny tabel, hvis feltet findes dér</t>
        </is>
      </c>
    </row>
    <row r="230">
      <c r="A230" s="12" t="inlineStr">
        <is>
          <t>Holmens og Østerbro Provsti</t>
        </is>
      </c>
      <c r="B230" s="12" t="inlineStr">
        <is>
          <t>Medlemsprocent</t>
        </is>
      </c>
      <c r="C230" s="13" t="n">
        <v>0.547</v>
      </c>
      <c r="D230" s="13" t="n">
        <v>0.543677447939743</v>
      </c>
      <c r="E230" s="13" t="n">
        <v>-0.003322552060257</v>
      </c>
      <c r="F230" s="12" t="inlineStr">
        <is>
          <t>Primær kilde i master er ny tabel, hvis feltet findes dér</t>
        </is>
      </c>
    </row>
    <row r="231">
      <c r="A231" s="12" t="inlineStr">
        <is>
          <t>Holmens og Østerbro Provsti</t>
        </is>
      </c>
      <c r="B231" s="12" t="inlineStr">
        <is>
          <t>Kirker</t>
        </is>
      </c>
      <c r="C231" s="13" t="n"/>
      <c r="D231" s="13" t="n">
        <v>20</v>
      </c>
      <c r="E231" s="13" t="n"/>
      <c r="F231" s="12" t="inlineStr">
        <is>
          <t>Mangler i en af kilderne</t>
        </is>
      </c>
    </row>
    <row r="232">
      <c r="A232" s="12" t="inlineStr">
        <is>
          <t>Holmens og Østerbro Provsti</t>
        </is>
      </c>
      <c r="B232" s="12" t="inlineStr">
        <is>
          <t>Pastorater</t>
        </is>
      </c>
      <c r="C232" s="13" t="n"/>
      <c r="D232" s="13" t="n">
        <v>13</v>
      </c>
      <c r="E232" s="13" t="n"/>
      <c r="F232" s="12" t="inlineStr">
        <is>
          <t>Mangler i en af kilderne</t>
        </is>
      </c>
    </row>
    <row r="233">
      <c r="A233" s="12" t="inlineStr">
        <is>
          <t>Holmens og Østerbro Provsti</t>
        </is>
      </c>
      <c r="B233" s="12" t="inlineStr">
        <is>
          <t>Lokal ligning t.kr.</t>
        </is>
      </c>
      <c r="C233" s="13" t="n">
        <v>98592</v>
      </c>
      <c r="D233" s="13" t="n"/>
      <c r="E233" s="13" t="n"/>
      <c r="F233" s="12" t="inlineStr">
        <is>
          <t>Mangler i en af kilderne</t>
        </is>
      </c>
    </row>
    <row r="234">
      <c r="A234" s="12" t="inlineStr">
        <is>
          <t>Holmens og Østerbro Provsti</t>
        </is>
      </c>
      <c r="B234" s="12" t="inlineStr">
        <is>
          <t>Maks. stiftsbidrag 1 % (t.kr.)</t>
        </is>
      </c>
      <c r="C234" s="13" t="n">
        <v>986</v>
      </c>
      <c r="D234" s="13" t="n">
        <v>0</v>
      </c>
      <c r="E234" s="13" t="n">
        <v>-986</v>
      </c>
      <c r="F234" s="12" t="inlineStr">
        <is>
          <t>Primær kilde i master er ny tabel, hvis feltet findes dér</t>
        </is>
      </c>
    </row>
    <row r="235">
      <c r="A235" s="12" t="inlineStr">
        <is>
          <t>Nørrebro Provsti</t>
        </is>
      </c>
      <c r="B235" s="12" t="inlineStr">
        <is>
          <t>Indbyggertal</t>
        </is>
      </c>
      <c r="C235" s="13" t="n">
        <v>76538</v>
      </c>
      <c r="D235" s="13" t="n">
        <v>76456</v>
      </c>
      <c r="E235" s="13" t="n">
        <v>-82</v>
      </c>
      <c r="F235" s="12" t="inlineStr">
        <is>
          <t>Primær kilde i master er ny tabel, hvis feltet findes dér</t>
        </is>
      </c>
    </row>
    <row r="236">
      <c r="A236" s="12" t="inlineStr">
        <is>
          <t>Nørrebro Provsti</t>
        </is>
      </c>
      <c r="B236" s="12" t="inlineStr">
        <is>
          <t>Folkekirkemedlemmer</t>
        </is>
      </c>
      <c r="C236" s="13" t="n">
        <v>35308</v>
      </c>
      <c r="D236" s="13" t="n">
        <v>35310</v>
      </c>
      <c r="E236" s="13" t="n">
        <v>2</v>
      </c>
      <c r="F236" s="12" t="inlineStr">
        <is>
          <t>Primær kilde i master er ny tabel, hvis feltet findes dér</t>
        </is>
      </c>
    </row>
    <row r="237">
      <c r="A237" s="12" t="inlineStr">
        <is>
          <t>Nørrebro Provsti</t>
        </is>
      </c>
      <c r="B237" s="12" t="inlineStr">
        <is>
          <t>Medlemsprocent</t>
        </is>
      </c>
      <c r="C237" s="13" t="n">
        <v>0.461</v>
      </c>
      <c r="D237" s="13" t="n">
        <v>0.4618342576122214</v>
      </c>
      <c r="E237" s="13" t="n">
        <v>0.0008342576122213896</v>
      </c>
      <c r="F237" s="12" t="inlineStr">
        <is>
          <t>Primær kilde i master er ny tabel, hvis feltet findes dér</t>
        </is>
      </c>
    </row>
    <row r="238">
      <c r="A238" s="12" t="inlineStr">
        <is>
          <t>Nørrebro Provsti</t>
        </is>
      </c>
      <c r="B238" s="12" t="inlineStr">
        <is>
          <t>Kirker</t>
        </is>
      </c>
      <c r="C238" s="13" t="n"/>
      <c r="D238" s="13" t="n">
        <v>12</v>
      </c>
      <c r="E238" s="13" t="n"/>
      <c r="F238" s="12" t="inlineStr">
        <is>
          <t>Mangler i en af kilderne</t>
        </is>
      </c>
    </row>
    <row r="239">
      <c r="A239" s="12" t="inlineStr">
        <is>
          <t>Nørrebro Provsti</t>
        </is>
      </c>
      <c r="B239" s="12" t="inlineStr">
        <is>
          <t>Pastorater</t>
        </is>
      </c>
      <c r="C239" s="13" t="n"/>
      <c r="D239" s="13" t="n">
        <v>5</v>
      </c>
      <c r="E239" s="13" t="n"/>
      <c r="F239" s="12" t="inlineStr">
        <is>
          <t>Mangler i en af kilderne</t>
        </is>
      </c>
    </row>
    <row r="240">
      <c r="A240" s="12" t="inlineStr">
        <is>
          <t>Nørrebro Provsti</t>
        </is>
      </c>
      <c r="B240" s="12" t="inlineStr">
        <is>
          <t>Lokal ligning t.kr.</t>
        </is>
      </c>
      <c r="C240" s="13" t="n">
        <v>98592</v>
      </c>
      <c r="D240" s="13" t="n">
        <v>591550.6482788022</v>
      </c>
      <c r="E240" s="13" t="n">
        <v>492958.6482788022</v>
      </c>
      <c r="F240" s="12" t="inlineStr">
        <is>
          <t>Primær kilde i master er ny tabel, hvis feltet findes dér</t>
        </is>
      </c>
    </row>
    <row r="241">
      <c r="A241" s="12" t="inlineStr">
        <is>
          <t>Nørrebro Provsti</t>
        </is>
      </c>
      <c r="B241" s="12" t="inlineStr">
        <is>
          <t>Maks. stiftsbidrag 1 % (t.kr.)</t>
        </is>
      </c>
      <c r="C241" s="13" t="n">
        <v>986</v>
      </c>
      <c r="D241" s="13" t="n">
        <v>5915.506482788021</v>
      </c>
      <c r="E241" s="13" t="n">
        <v>4929.506482788021</v>
      </c>
      <c r="F241" s="12" t="inlineStr">
        <is>
          <t>Primær kilde i master er ny tabel, hvis feltet findes dér</t>
        </is>
      </c>
    </row>
    <row r="242">
      <c r="A242" s="12" t="inlineStr">
        <is>
          <t>Valby-Vanløse Provsti</t>
        </is>
      </c>
      <c r="B242" s="12" t="inlineStr">
        <is>
          <t>Indbyggertal</t>
        </is>
      </c>
      <c r="C242" s="13" t="n">
        <v>108726</v>
      </c>
      <c r="D242" s="13" t="n">
        <v>108748</v>
      </c>
      <c r="E242" s="13" t="n">
        <v>22</v>
      </c>
      <c r="F242" s="12" t="inlineStr">
        <is>
          <t>Primær kilde i master er ny tabel, hvis feltet findes dér</t>
        </is>
      </c>
    </row>
    <row r="243">
      <c r="A243" s="12" t="inlineStr">
        <is>
          <t>Valby-Vanløse Provsti</t>
        </is>
      </c>
      <c r="B243" s="12" t="inlineStr">
        <is>
          <t>Folkekirkemedlemmer</t>
        </is>
      </c>
      <c r="C243" s="13" t="n">
        <v>57008</v>
      </c>
      <c r="D243" s="13" t="n">
        <v>56847</v>
      </c>
      <c r="E243" s="13" t="n">
        <v>-161</v>
      </c>
      <c r="F243" s="12" t="inlineStr">
        <is>
          <t>Primær kilde i master er ny tabel, hvis feltet findes dér</t>
        </is>
      </c>
    </row>
    <row r="244">
      <c r="A244" s="12" t="inlineStr">
        <is>
          <t>Valby-Vanløse Provsti</t>
        </is>
      </c>
      <c r="B244" s="12" t="inlineStr">
        <is>
          <t>Medlemsprocent</t>
        </is>
      </c>
      <c r="C244" s="13" t="n">
        <v>0.524</v>
      </c>
      <c r="D244" s="13" t="n">
        <v>0.5227406481038732</v>
      </c>
      <c r="E244" s="13" t="n">
        <v>-0.001259351896126804</v>
      </c>
      <c r="F244" s="12" t="inlineStr">
        <is>
          <t>Primær kilde i master er ny tabel, hvis feltet findes dér</t>
        </is>
      </c>
    </row>
    <row r="245">
      <c r="A245" s="12" t="inlineStr">
        <is>
          <t>Valby-Vanløse Provsti</t>
        </is>
      </c>
      <c r="B245" s="12" t="inlineStr">
        <is>
          <t>Kirker</t>
        </is>
      </c>
      <c r="C245" s="13" t="n"/>
      <c r="D245" s="13" t="n">
        <v>12</v>
      </c>
      <c r="E245" s="13" t="n"/>
      <c r="F245" s="12" t="inlineStr">
        <is>
          <t>Mangler i en af kilderne</t>
        </is>
      </c>
    </row>
    <row r="246">
      <c r="A246" s="12" t="inlineStr">
        <is>
          <t>Valby-Vanløse Provsti</t>
        </is>
      </c>
      <c r="B246" s="12" t="inlineStr">
        <is>
          <t>Pastorater</t>
        </is>
      </c>
      <c r="C246" s="13" t="n"/>
      <c r="D246" s="13" t="n">
        <v>9</v>
      </c>
      <c r="E246" s="13" t="n"/>
      <c r="F246" s="12" t="inlineStr">
        <is>
          <t>Mangler i en af kilderne</t>
        </is>
      </c>
    </row>
    <row r="247">
      <c r="A247" s="12" t="inlineStr">
        <is>
          <t>Valby-Vanløse Provsti</t>
        </is>
      </c>
      <c r="B247" s="12" t="inlineStr">
        <is>
          <t>Lokal ligning t.kr.</t>
        </is>
      </c>
      <c r="C247" s="13" t="n">
        <v>98592</v>
      </c>
      <c r="D247" s="13" t="n"/>
      <c r="E247" s="13" t="n"/>
      <c r="F247" s="12" t="inlineStr">
        <is>
          <t>Mangler i en af kilderne</t>
        </is>
      </c>
    </row>
    <row r="248">
      <c r="A248" s="12" t="inlineStr">
        <is>
          <t>Valby-Vanløse Provsti</t>
        </is>
      </c>
      <c r="B248" s="12" t="inlineStr">
        <is>
          <t>Maks. stiftsbidrag 1 % (t.kr.)</t>
        </is>
      </c>
      <c r="C248" s="13" t="n">
        <v>986</v>
      </c>
      <c r="D248" s="13" t="n">
        <v>0</v>
      </c>
      <c r="E248" s="13" t="n">
        <v>-986</v>
      </c>
      <c r="F248" s="12" t="inlineStr">
        <is>
          <t>Primær kilde i master er ny tabel, hvis feltet findes dér</t>
        </is>
      </c>
    </row>
    <row r="249">
      <c r="A249" s="12" t="inlineStr">
        <is>
          <t>Vor Frue-Vesterbro Provsti</t>
        </is>
      </c>
      <c r="B249" s="12" t="inlineStr">
        <is>
          <t>Indbyggertal</t>
        </is>
      </c>
      <c r="C249" s="13" t="n">
        <v>108558</v>
      </c>
      <c r="D249" s="13" t="n">
        <v>108827</v>
      </c>
      <c r="E249" s="13" t="n">
        <v>269</v>
      </c>
      <c r="F249" s="12" t="inlineStr">
        <is>
          <t>Primær kilde i master er ny tabel, hvis feltet findes dér</t>
        </is>
      </c>
    </row>
    <row r="250">
      <c r="A250" s="12" t="inlineStr">
        <is>
          <t>Vor Frue-Vesterbro Provsti</t>
        </is>
      </c>
      <c r="B250" s="12" t="inlineStr">
        <is>
          <t>Folkekirkemedlemmer</t>
        </is>
      </c>
      <c r="C250" s="13" t="n">
        <v>51901</v>
      </c>
      <c r="D250" s="13" t="n">
        <v>51772</v>
      </c>
      <c r="E250" s="13" t="n">
        <v>-129</v>
      </c>
      <c r="F250" s="12" t="inlineStr">
        <is>
          <t>Primær kilde i master er ny tabel, hvis feltet findes dér</t>
        </is>
      </c>
    </row>
    <row r="251">
      <c r="A251" s="12" t="inlineStr">
        <is>
          <t>Vor Frue-Vesterbro Provsti</t>
        </is>
      </c>
      <c r="B251" s="12" t="inlineStr">
        <is>
          <t>Medlemsprocent</t>
        </is>
      </c>
      <c r="C251" s="13" t="n">
        <v>0.478</v>
      </c>
      <c r="D251" s="13" t="n">
        <v>0.4757275308517188</v>
      </c>
      <c r="E251" s="13" t="n">
        <v>-0.00227246914828122</v>
      </c>
      <c r="F251" s="12" t="inlineStr">
        <is>
          <t>Primær kilde i master er ny tabel, hvis feltet findes dér</t>
        </is>
      </c>
    </row>
    <row r="252">
      <c r="A252" s="12" t="inlineStr">
        <is>
          <t>Vor Frue-Vesterbro Provsti</t>
        </is>
      </c>
      <c r="B252" s="12" t="inlineStr">
        <is>
          <t>Kirker</t>
        </is>
      </c>
      <c r="C252" s="13" t="n"/>
      <c r="D252" s="13" t="n">
        <v>20</v>
      </c>
      <c r="E252" s="13" t="n"/>
      <c r="F252" s="12" t="inlineStr">
        <is>
          <t>Mangler i en af kilderne</t>
        </is>
      </c>
    </row>
    <row r="253">
      <c r="A253" s="12" t="inlineStr">
        <is>
          <t>Vor Frue-Vesterbro Provsti</t>
        </is>
      </c>
      <c r="B253" s="12" t="inlineStr">
        <is>
          <t>Pastorater</t>
        </is>
      </c>
      <c r="C253" s="13" t="n"/>
      <c r="D253" s="13" t="n">
        <v>7</v>
      </c>
      <c r="E253" s="13" t="n"/>
      <c r="F253" s="12" t="inlineStr">
        <is>
          <t>Mangler i en af kilderne</t>
        </is>
      </c>
    </row>
    <row r="254">
      <c r="A254" s="12" t="inlineStr">
        <is>
          <t>Vor Frue-Vesterbro Provsti</t>
        </is>
      </c>
      <c r="B254" s="12" t="inlineStr">
        <is>
          <t>Lokal ligning t.kr.</t>
        </is>
      </c>
      <c r="C254" s="13" t="n">
        <v>98592</v>
      </c>
      <c r="D254" s="13" t="n"/>
      <c r="E254" s="13" t="n"/>
      <c r="F254" s="12" t="inlineStr">
        <is>
          <t>Mangler i en af kilderne</t>
        </is>
      </c>
    </row>
    <row r="255">
      <c r="A255" s="12" t="inlineStr">
        <is>
          <t>Vor Frue-Vesterbro Provsti</t>
        </is>
      </c>
      <c r="B255" s="12" t="inlineStr">
        <is>
          <t>Maks. stiftsbidrag 1 % (t.kr.)</t>
        </is>
      </c>
      <c r="C255" s="13" t="n">
        <v>986</v>
      </c>
      <c r="D255" s="13" t="n">
        <v>0</v>
      </c>
      <c r="E255" s="13" t="n">
        <v>-986</v>
      </c>
      <c r="F255" s="12" t="inlineStr">
        <is>
          <t>Primær kilde i master er ny tabel, hvis feltet findes dér</t>
        </is>
      </c>
    </row>
    <row r="256">
      <c r="A256" s="12" t="inlineStr">
        <is>
          <t>Falster Provsti</t>
        </is>
      </c>
      <c r="B256" s="12" t="inlineStr">
        <is>
          <t>Indbyggertal</t>
        </is>
      </c>
      <c r="C256" s="13" t="n">
        <v>41239</v>
      </c>
      <c r="D256" s="13" t="n">
        <v>41129</v>
      </c>
      <c r="E256" s="13" t="n">
        <v>-110</v>
      </c>
      <c r="F256" s="12" t="inlineStr">
        <is>
          <t>Primær kilde i master er ny tabel, hvis feltet findes dér</t>
        </is>
      </c>
    </row>
    <row r="257">
      <c r="A257" s="12" t="inlineStr">
        <is>
          <t>Falster Provsti</t>
        </is>
      </c>
      <c r="B257" s="12" t="inlineStr">
        <is>
          <t>Folkekirkemedlemmer</t>
        </is>
      </c>
      <c r="C257" s="13" t="n">
        <v>31806</v>
      </c>
      <c r="D257" s="13" t="n">
        <v>31707</v>
      </c>
      <c r="E257" s="13" t="n">
        <v>-99</v>
      </c>
      <c r="F257" s="12" t="inlineStr">
        <is>
          <t>Primær kilde i master er ny tabel, hvis feltet findes dér</t>
        </is>
      </c>
    </row>
    <row r="258">
      <c r="A258" s="12" t="inlineStr">
        <is>
          <t>Falster Provsti</t>
        </is>
      </c>
      <c r="B258" s="12" t="inlineStr">
        <is>
          <t>Kirker</t>
        </is>
      </c>
      <c r="C258" s="13" t="n">
        <v>33</v>
      </c>
      <c r="D258" s="13" t="n">
        <v>38</v>
      </c>
      <c r="E258" s="13" t="n">
        <v>5</v>
      </c>
      <c r="F258" s="12" t="inlineStr">
        <is>
          <t>Primær kilde i master er ny tabel, hvis feltet findes dér</t>
        </is>
      </c>
    </row>
    <row r="259">
      <c r="A259" s="12" t="inlineStr">
        <is>
          <t>Falster Provsti</t>
        </is>
      </c>
      <c r="B259" s="12" t="inlineStr">
        <is>
          <t>Lokal ligning t.kr.</t>
        </is>
      </c>
      <c r="C259" s="13" t="n">
        <v>98745</v>
      </c>
      <c r="D259" s="13" t="n"/>
      <c r="E259" s="13" t="n"/>
      <c r="F259" s="12" t="inlineStr">
        <is>
          <t>Mangler i en af kilderne</t>
        </is>
      </c>
    </row>
    <row r="260">
      <c r="A260" s="12" t="inlineStr">
        <is>
          <t>Falster Provsti</t>
        </is>
      </c>
      <c r="B260" s="12" t="inlineStr">
        <is>
          <t>Maks. stiftsbidrag 1 % (t.kr.)</t>
        </is>
      </c>
      <c r="C260" s="13" t="n">
        <v>987</v>
      </c>
      <c r="D260" s="13" t="n">
        <v>0</v>
      </c>
      <c r="E260" s="13" t="n">
        <v>-987</v>
      </c>
      <c r="F260" s="12" t="inlineStr">
        <is>
          <t>Primær kilde i master er ny tabel, hvis feltet findes dér</t>
        </is>
      </c>
    </row>
    <row r="261">
      <c r="A261" s="12" t="inlineStr">
        <is>
          <t>Lolland Vestre Provsti</t>
        </is>
      </c>
      <c r="B261" s="12" t="inlineStr">
        <is>
          <t>Indbyggertal</t>
        </is>
      </c>
      <c r="C261" s="13" t="n">
        <v>21165</v>
      </c>
      <c r="D261" s="13" t="n">
        <v>21083</v>
      </c>
      <c r="E261" s="13" t="n">
        <v>-82</v>
      </c>
      <c r="F261" s="12" t="inlineStr">
        <is>
          <t>Primær kilde i master er ny tabel, hvis feltet findes dér</t>
        </is>
      </c>
    </row>
    <row r="262">
      <c r="A262" s="12" t="inlineStr">
        <is>
          <t>Lolland Vestre Provsti</t>
        </is>
      </c>
      <c r="B262" s="12" t="inlineStr">
        <is>
          <t>Folkekirkemedlemmer</t>
        </is>
      </c>
      <c r="C262" s="13" t="n">
        <v>16297</v>
      </c>
      <c r="D262" s="13" t="n">
        <v>16207</v>
      </c>
      <c r="E262" s="13" t="n">
        <v>-90</v>
      </c>
      <c r="F262" s="12" t="inlineStr">
        <is>
          <t>Primær kilde i master er ny tabel, hvis feltet findes dér</t>
        </is>
      </c>
    </row>
    <row r="263">
      <c r="A263" s="12" t="inlineStr">
        <is>
          <t>Lolland Vestre Provsti</t>
        </is>
      </c>
      <c r="B263" s="12" t="inlineStr">
        <is>
          <t>Medlemsprocent</t>
        </is>
      </c>
      <c r="C263" s="13" t="n">
        <v>0.77</v>
      </c>
      <c r="D263" s="13" t="n">
        <v>0.768723616183655</v>
      </c>
      <c r="E263" s="13" t="n">
        <v>-0.001276383816344984</v>
      </c>
      <c r="F263" s="12" t="inlineStr">
        <is>
          <t>Primær kilde i master er ny tabel, hvis feltet findes dér</t>
        </is>
      </c>
    </row>
    <row r="264">
      <c r="A264" s="12" t="inlineStr">
        <is>
          <t>Lolland Vestre Provsti</t>
        </is>
      </c>
      <c r="B264" s="12" t="inlineStr">
        <is>
          <t>Kirker</t>
        </is>
      </c>
      <c r="C264" s="13" t="n">
        <v>31</v>
      </c>
      <c r="D264" s="13" t="n">
        <v>32</v>
      </c>
      <c r="E264" s="13" t="n">
        <v>1</v>
      </c>
      <c r="F264" s="12" t="inlineStr">
        <is>
          <t>Primær kilde i master er ny tabel, hvis feltet findes dér</t>
        </is>
      </c>
    </row>
    <row r="265">
      <c r="A265" s="12" t="inlineStr">
        <is>
          <t>Lolland Vestre Provsti</t>
        </is>
      </c>
      <c r="B265" s="12" t="inlineStr">
        <is>
          <t>Lokal ligning t.kr.</t>
        </is>
      </c>
      <c r="C265" s="13" t="n">
        <v>68778</v>
      </c>
      <c r="D265" s="13" t="n">
        <v>68777.65752544157</v>
      </c>
      <c r="E265" s="13" t="n">
        <v>-0.3424745584343327</v>
      </c>
      <c r="F265" s="12" t="inlineStr">
        <is>
          <t>Primær kilde i master er ny tabel, hvis feltet findes dér</t>
        </is>
      </c>
    </row>
    <row r="266">
      <c r="A266" s="12" t="inlineStr">
        <is>
          <t>Lolland Vestre Provsti</t>
        </is>
      </c>
      <c r="B266" s="12" t="inlineStr">
        <is>
          <t>Maks. stiftsbidrag 1 % (t.kr.)</t>
        </is>
      </c>
      <c r="C266" s="13" t="n">
        <v>688</v>
      </c>
      <c r="D266" s="13" t="n">
        <v>687.7765752544158</v>
      </c>
      <c r="E266" s="13" t="n">
        <v>-0.2234247455842251</v>
      </c>
      <c r="F266" s="12" t="inlineStr">
        <is>
          <t>Primær kilde i master er ny tabel, hvis feltet findes dér</t>
        </is>
      </c>
    </row>
    <row r="267">
      <c r="A267" s="12" t="inlineStr">
        <is>
          <t>Lolland Østre Provsti</t>
        </is>
      </c>
      <c r="B267" s="12" t="inlineStr">
        <is>
          <t>Indbyggertal</t>
        </is>
      </c>
      <c r="C267" s="13" t="n">
        <v>17880</v>
      </c>
      <c r="D267" s="13" t="n">
        <v>17875</v>
      </c>
      <c r="E267" s="13" t="n">
        <v>-5</v>
      </c>
      <c r="F267" s="12" t="inlineStr">
        <is>
          <t>Primær kilde i master er ny tabel, hvis feltet findes dér</t>
        </is>
      </c>
    </row>
    <row r="268">
      <c r="A268" s="12" t="inlineStr">
        <is>
          <t>Lolland Østre Provsti</t>
        </is>
      </c>
      <c r="B268" s="12" t="inlineStr">
        <is>
          <t>Folkekirkemedlemmer</t>
        </is>
      </c>
      <c r="C268" s="13" t="n">
        <v>14327</v>
      </c>
      <c r="D268" s="13" t="n">
        <v>14300</v>
      </c>
      <c r="E268" s="13" t="n">
        <v>-27</v>
      </c>
      <c r="F268" s="12" t="inlineStr">
        <is>
          <t>Primær kilde i master er ny tabel, hvis feltet findes dér</t>
        </is>
      </c>
    </row>
    <row r="269">
      <c r="A269" s="12" t="inlineStr">
        <is>
          <t>Lolland Østre Provsti</t>
        </is>
      </c>
      <c r="B269" s="12" t="inlineStr">
        <is>
          <t>Medlemsprocent</t>
        </is>
      </c>
      <c r="C269" s="13" t="n">
        <v>0.8009999999999999</v>
      </c>
      <c r="D269" s="13" t="n">
        <v>0.8</v>
      </c>
      <c r="E269" s="13" t="n">
        <v>-0.0009999999999998899</v>
      </c>
      <c r="F269" s="12" t="inlineStr">
        <is>
          <t>Primær kilde i master er ny tabel, hvis feltet findes dér</t>
        </is>
      </c>
    </row>
    <row r="270">
      <c r="A270" s="12" t="inlineStr">
        <is>
          <t>Lolland Østre Provsti</t>
        </is>
      </c>
      <c r="B270" s="12" t="inlineStr">
        <is>
          <t>Kirker</t>
        </is>
      </c>
      <c r="C270" s="13" t="n">
        <v>21</v>
      </c>
      <c r="D270" s="13" t="n">
        <v>23</v>
      </c>
      <c r="E270" s="13" t="n">
        <v>2</v>
      </c>
      <c r="F270" s="12" t="inlineStr">
        <is>
          <t>Primær kilde i master er ny tabel, hvis feltet findes dér</t>
        </is>
      </c>
    </row>
    <row r="271">
      <c r="A271" s="12" t="inlineStr">
        <is>
          <t>Lolland Østre Provsti</t>
        </is>
      </c>
      <c r="B271" s="12" t="inlineStr">
        <is>
          <t>Lokal ligning t.kr.</t>
        </is>
      </c>
      <c r="C271" s="13" t="n">
        <v>0</v>
      </c>
      <c r="D271" s="13" t="n">
        <v>98745.02042878669</v>
      </c>
      <c r="E271" s="13" t="n">
        <v>98745.02042878669</v>
      </c>
      <c r="F271" s="12" t="inlineStr">
        <is>
          <t>Primær kilde i master er ny tabel, hvis feltet findes dér</t>
        </is>
      </c>
    </row>
    <row r="272">
      <c r="A272" s="12" t="inlineStr">
        <is>
          <t>Lolland Østre Provsti</t>
        </is>
      </c>
      <c r="B272" s="12" t="inlineStr">
        <is>
          <t>Maks. stiftsbidrag 1 % (t.kr.)</t>
        </is>
      </c>
      <c r="C272" s="13" t="n">
        <v>0</v>
      </c>
      <c r="D272" s="13" t="n">
        <v>987.450204287867</v>
      </c>
      <c r="E272" s="13" t="n">
        <v>987.450204287867</v>
      </c>
      <c r="F272" s="12" t="inlineStr">
        <is>
          <t>Primær kilde i master er ny tabel, hvis feltet findes dér</t>
        </is>
      </c>
    </row>
    <row r="273">
      <c r="A273" s="12" t="inlineStr">
        <is>
          <t>Maribo Domprovsti</t>
        </is>
      </c>
      <c r="B273" s="12" t="inlineStr">
        <is>
          <t>Indbyggertal</t>
        </is>
      </c>
      <c r="C273" s="13" t="n">
        <v>17368</v>
      </c>
      <c r="D273" s="13" t="n">
        <v>17333</v>
      </c>
      <c r="E273" s="13" t="n">
        <v>-35</v>
      </c>
      <c r="F273" s="12" t="inlineStr">
        <is>
          <t>Primær kilde i master er ny tabel, hvis feltet findes dér</t>
        </is>
      </c>
    </row>
    <row r="274">
      <c r="A274" s="12" t="inlineStr">
        <is>
          <t>Maribo Domprovsti</t>
        </is>
      </c>
      <c r="B274" s="12" t="inlineStr">
        <is>
          <t>Folkekirkemedlemmer</t>
        </is>
      </c>
      <c r="C274" s="13" t="n">
        <v>12939</v>
      </c>
      <c r="D274" s="13" t="n">
        <v>12889</v>
      </c>
      <c r="E274" s="13" t="n">
        <v>-50</v>
      </c>
      <c r="F274" s="12" t="inlineStr">
        <is>
          <t>Primær kilde i master er ny tabel, hvis feltet findes dér</t>
        </is>
      </c>
    </row>
    <row r="275">
      <c r="A275" s="12" t="inlineStr">
        <is>
          <t>Maribo Domprovsti</t>
        </is>
      </c>
      <c r="B275" s="12" t="inlineStr">
        <is>
          <t>Medlemsprocent</t>
        </is>
      </c>
      <c r="C275" s="13" t="n">
        <v>0.745</v>
      </c>
      <c r="D275" s="13" t="n">
        <v>0.7436104540471932</v>
      </c>
      <c r="E275" s="13" t="n">
        <v>-0.001389545952806825</v>
      </c>
      <c r="F275" s="12" t="inlineStr">
        <is>
          <t>Primær kilde i master er ny tabel, hvis feltet findes dér</t>
        </is>
      </c>
    </row>
    <row r="276">
      <c r="A276" s="12" t="inlineStr">
        <is>
          <t>Maribo Domprovsti</t>
        </is>
      </c>
      <c r="B276" s="12" t="inlineStr">
        <is>
          <t>Lokal ligning t.kr.</t>
        </is>
      </c>
      <c r="C276" s="13" t="n">
        <v>0</v>
      </c>
      <c r="D276" s="13" t="n"/>
      <c r="E276" s="13" t="n"/>
      <c r="F276" s="12" t="inlineStr">
        <is>
          <t>Mangler i en af kilderne</t>
        </is>
      </c>
    </row>
    <row r="277">
      <c r="A277" s="12" t="inlineStr">
        <is>
          <t>Grene Provsti</t>
        </is>
      </c>
      <c r="B277" s="12" t="inlineStr">
        <is>
          <t>Indbyggertal</t>
        </is>
      </c>
      <c r="C277" s="13" t="n">
        <v>44951</v>
      </c>
      <c r="D277" s="13" t="n">
        <v>45051</v>
      </c>
      <c r="E277" s="13" t="n">
        <v>100</v>
      </c>
      <c r="F277" s="12" t="inlineStr">
        <is>
          <t>Primær kilde i master er ny tabel, hvis feltet findes dér</t>
        </is>
      </c>
    </row>
    <row r="278">
      <c r="A278" s="12" t="inlineStr">
        <is>
          <t>Grene Provsti</t>
        </is>
      </c>
      <c r="B278" s="12" t="inlineStr">
        <is>
          <t>Folkekirkemedlemmer</t>
        </is>
      </c>
      <c r="C278" s="13" t="n">
        <v>34382</v>
      </c>
      <c r="D278" s="13" t="n">
        <v>34329</v>
      </c>
      <c r="E278" s="13" t="n">
        <v>-53</v>
      </c>
      <c r="F278" s="12" t="inlineStr">
        <is>
          <t>Primær kilde i master er ny tabel, hvis feltet findes dér</t>
        </is>
      </c>
    </row>
    <row r="279">
      <c r="A279" s="12" t="inlineStr">
        <is>
          <t>Grene Provsti</t>
        </is>
      </c>
      <c r="B279" s="12" t="inlineStr">
        <is>
          <t>Medlemsprocent</t>
        </is>
      </c>
      <c r="C279" s="13" t="n">
        <v>0.765</v>
      </c>
      <c r="D279" s="13" t="n">
        <v>0.7620030631950456</v>
      </c>
      <c r="E279" s="13" t="n">
        <v>-0.002996936804954387</v>
      </c>
      <c r="F279" s="12" t="inlineStr">
        <is>
          <t>Primær kilde i master er ny tabel, hvis feltet findes dér</t>
        </is>
      </c>
    </row>
    <row r="280">
      <c r="A280" s="12" t="inlineStr">
        <is>
          <t>Grene Provsti</t>
        </is>
      </c>
      <c r="B280" s="12" t="inlineStr">
        <is>
          <t>Kirker</t>
        </is>
      </c>
      <c r="C280" s="13" t="n"/>
      <c r="D280" s="13" t="n">
        <v>29</v>
      </c>
      <c r="E280" s="13" t="n"/>
      <c r="F280" s="12" t="inlineStr">
        <is>
          <t>Mangler i en af kilderne</t>
        </is>
      </c>
    </row>
    <row r="281">
      <c r="A281" s="12" t="inlineStr">
        <is>
          <t>Grene Provsti</t>
        </is>
      </c>
      <c r="B281" s="12" t="inlineStr">
        <is>
          <t>Lokal ligning t.kr.</t>
        </is>
      </c>
      <c r="C281" s="13" t="n"/>
      <c r="D281" s="13" t="n">
        <v>35485.32578529065</v>
      </c>
      <c r="E281" s="13" t="n"/>
      <c r="F281" s="12" t="inlineStr">
        <is>
          <t>Mangler i en af kilderne</t>
        </is>
      </c>
    </row>
    <row r="282">
      <c r="A282" s="12" t="inlineStr">
        <is>
          <t>Grene Provsti</t>
        </is>
      </c>
      <c r="B282" s="12" t="inlineStr">
        <is>
          <t>Maks. stiftsbidrag 1 % (t.kr.)</t>
        </is>
      </c>
      <c r="C282" s="13" t="n"/>
      <c r="D282" s="13" t="n">
        <v>354.8532578529064</v>
      </c>
      <c r="E282" s="13" t="n"/>
      <c r="F282" s="12" t="inlineStr">
        <is>
          <t>Mangler i en af kilderne</t>
        </is>
      </c>
    </row>
    <row r="283">
      <c r="A283" s="12" t="inlineStr">
        <is>
          <t>Malt Provsti</t>
        </is>
      </c>
      <c r="B283" s="12" t="inlineStr">
        <is>
          <t>Indbyggertal</t>
        </is>
      </c>
      <c r="C283" s="13" t="n">
        <v>42600</v>
      </c>
      <c r="D283" s="13" t="n">
        <v>42610</v>
      </c>
      <c r="E283" s="13" t="n">
        <v>10</v>
      </c>
      <c r="F283" s="12" t="inlineStr">
        <is>
          <t>Primær kilde i master er ny tabel, hvis feltet findes dér</t>
        </is>
      </c>
    </row>
    <row r="284">
      <c r="A284" s="12" t="inlineStr">
        <is>
          <t>Malt Provsti</t>
        </is>
      </c>
      <c r="B284" s="12" t="inlineStr">
        <is>
          <t>Folkekirkemedlemmer</t>
        </is>
      </c>
      <c r="C284" s="13" t="n">
        <v>33479</v>
      </c>
      <c r="D284" s="13" t="n">
        <v>33412</v>
      </c>
      <c r="E284" s="13" t="n">
        <v>-67</v>
      </c>
      <c r="F284" s="12" t="inlineStr">
        <is>
          <t>Primær kilde i master er ny tabel, hvis feltet findes dér</t>
        </is>
      </c>
    </row>
    <row r="285">
      <c r="A285" s="12" t="inlineStr">
        <is>
          <t>Malt Provsti</t>
        </is>
      </c>
      <c r="B285" s="12" t="inlineStr">
        <is>
          <t>Medlemsprocent</t>
        </is>
      </c>
      <c r="C285" s="13" t="n">
        <v>0.7859999999999999</v>
      </c>
      <c r="D285" s="13" t="n">
        <v>0.7841351795353203</v>
      </c>
      <c r="E285" s="13" t="n">
        <v>-0.001864820464679617</v>
      </c>
      <c r="F285" s="12" t="inlineStr">
        <is>
          <t>Primær kilde i master er ny tabel, hvis feltet findes dér</t>
        </is>
      </c>
    </row>
    <row r="286">
      <c r="A286" s="12" t="inlineStr">
        <is>
          <t>Malt Provsti</t>
        </is>
      </c>
      <c r="B286" s="12" t="inlineStr">
        <is>
          <t>Kirker</t>
        </is>
      </c>
      <c r="C286" s="13" t="n"/>
      <c r="D286" s="13" t="n">
        <v>30</v>
      </c>
      <c r="E286" s="13" t="n"/>
      <c r="F286" s="12" t="inlineStr">
        <is>
          <t>Mangler i en af kilderne</t>
        </is>
      </c>
    </row>
    <row r="287">
      <c r="A287" s="12" t="inlineStr">
        <is>
          <t>Malt Provsti</t>
        </is>
      </c>
      <c r="B287" s="12" t="inlineStr">
        <is>
          <t>Lokal ligning t.kr.</t>
        </is>
      </c>
      <c r="C287" s="13" t="n"/>
      <c r="D287" s="13" t="n">
        <v>69097.06548812437</v>
      </c>
      <c r="E287" s="13" t="n"/>
      <c r="F287" s="12" t="inlineStr">
        <is>
          <t>Mangler i en af kilderne</t>
        </is>
      </c>
    </row>
    <row r="288">
      <c r="A288" s="12" t="inlineStr">
        <is>
          <t>Malt Provsti</t>
        </is>
      </c>
      <c r="B288" s="12" t="inlineStr">
        <is>
          <t>Maks. stiftsbidrag 1 % (t.kr.)</t>
        </is>
      </c>
      <c r="C288" s="13" t="n"/>
      <c r="D288" s="13" t="n">
        <v>690.9706548812437</v>
      </c>
      <c r="E288" s="13" t="n"/>
      <c r="F288" s="12" t="inlineStr">
        <is>
          <t>Mangler i en af kilderne</t>
        </is>
      </c>
    </row>
    <row r="289">
      <c r="A289" s="12" t="inlineStr">
        <is>
          <t>Ribe Domprovsti</t>
        </is>
      </c>
      <c r="B289" s="12" t="inlineStr">
        <is>
          <t>Indbyggertal</t>
        </is>
      </c>
      <c r="C289" s="13" t="n">
        <v>31328</v>
      </c>
      <c r="D289" s="13" t="n">
        <v>31317</v>
      </c>
      <c r="E289" s="13" t="n">
        <v>-11</v>
      </c>
      <c r="F289" s="12" t="inlineStr">
        <is>
          <t>Primær kilde i master er ny tabel, hvis feltet findes dér</t>
        </is>
      </c>
    </row>
    <row r="290">
      <c r="A290" s="12" t="inlineStr">
        <is>
          <t>Ribe Domprovsti</t>
        </is>
      </c>
      <c r="B290" s="12" t="inlineStr">
        <is>
          <t>Folkekirkemedlemmer</t>
        </is>
      </c>
      <c r="C290" s="13" t="n">
        <v>26613</v>
      </c>
      <c r="D290" s="13" t="n">
        <v>26588</v>
      </c>
      <c r="E290" s="13" t="n">
        <v>-25</v>
      </c>
      <c r="F290" s="12" t="inlineStr">
        <is>
          <t>Primær kilde i master er ny tabel, hvis feltet findes dér</t>
        </is>
      </c>
    </row>
    <row r="291">
      <c r="A291" s="12" t="inlineStr">
        <is>
          <t>Ribe Domprovsti</t>
        </is>
      </c>
      <c r="B291" s="12" t="inlineStr">
        <is>
          <t>Kirker</t>
        </is>
      </c>
      <c r="C291" s="13" t="n"/>
      <c r="D291" s="13" t="n">
        <v>24</v>
      </c>
      <c r="E291" s="13" t="n"/>
      <c r="F291" s="12" t="inlineStr">
        <is>
          <t>Mangler i en af kilderne</t>
        </is>
      </c>
    </row>
    <row r="292">
      <c r="A292" s="12" t="inlineStr">
        <is>
          <t>Ribe Domprovsti</t>
        </is>
      </c>
      <c r="B292" s="12" t="inlineStr">
        <is>
          <t>Lokal ligning t.kr.</t>
        </is>
      </c>
      <c r="C292" s="13" t="n"/>
      <c r="D292" s="13" t="n">
        <v>138718.3175146022</v>
      </c>
      <c r="E292" s="13" t="n"/>
      <c r="F292" s="12" t="inlineStr">
        <is>
          <t>Mangler i en af kilderne</t>
        </is>
      </c>
    </row>
    <row r="293">
      <c r="A293" s="12" t="inlineStr">
        <is>
          <t>Ribe Domprovsti</t>
        </is>
      </c>
      <c r="B293" s="12" t="inlineStr">
        <is>
          <t>Maks. stiftsbidrag 1 % (t.kr.)</t>
        </is>
      </c>
      <c r="C293" s="13" t="n"/>
      <c r="D293" s="13" t="n">
        <v>1387.183175146022</v>
      </c>
      <c r="E293" s="13" t="n"/>
      <c r="F293" s="12" t="inlineStr">
        <is>
          <t>Mangler i en af kilderne</t>
        </is>
      </c>
    </row>
    <row r="294">
      <c r="A294" s="12" t="inlineStr">
        <is>
          <t>Ringkøbing Provsti</t>
        </is>
      </c>
      <c r="B294" s="12" t="inlineStr">
        <is>
          <t>Indbyggertal</t>
        </is>
      </c>
      <c r="C294" s="13" t="n">
        <v>27874</v>
      </c>
      <c r="D294" s="13" t="n">
        <v>27814</v>
      </c>
      <c r="E294" s="13" t="n">
        <v>-60</v>
      </c>
      <c r="F294" s="12" t="inlineStr">
        <is>
          <t>Primær kilde i master er ny tabel, hvis feltet findes dér</t>
        </is>
      </c>
    </row>
    <row r="295">
      <c r="A295" s="12" t="inlineStr">
        <is>
          <t>Ringkøbing Provsti</t>
        </is>
      </c>
      <c r="B295" s="12" t="inlineStr">
        <is>
          <t>Folkekirkemedlemmer</t>
        </is>
      </c>
      <c r="C295" s="13" t="n">
        <v>22316</v>
      </c>
      <c r="D295" s="13" t="n">
        <v>22253</v>
      </c>
      <c r="E295" s="13" t="n">
        <v>-63</v>
      </c>
      <c r="F295" s="12" t="inlineStr">
        <is>
          <t>Primær kilde i master er ny tabel, hvis feltet findes dér</t>
        </is>
      </c>
    </row>
    <row r="296">
      <c r="A296" s="12" t="inlineStr">
        <is>
          <t>Ringkøbing Provsti</t>
        </is>
      </c>
      <c r="B296" s="12" t="inlineStr">
        <is>
          <t>Medlemsprocent</t>
        </is>
      </c>
      <c r="C296" s="13" t="n">
        <v>0.8009999999999999</v>
      </c>
      <c r="D296" s="13" t="n">
        <v>0.8000647156108435</v>
      </c>
      <c r="E296" s="13" t="n">
        <v>-0.0009352843891564655</v>
      </c>
      <c r="F296" s="12" t="inlineStr">
        <is>
          <t>Primær kilde i master er ny tabel, hvis feltet findes dér</t>
        </is>
      </c>
    </row>
    <row r="297">
      <c r="A297" s="12" t="inlineStr">
        <is>
          <t>Ringkøbing Provsti</t>
        </is>
      </c>
      <c r="B297" s="12" t="inlineStr">
        <is>
          <t>Kirker</t>
        </is>
      </c>
      <c r="C297" s="13" t="n"/>
      <c r="D297" s="13" t="n">
        <v>29</v>
      </c>
      <c r="E297" s="13" t="n"/>
      <c r="F297" s="12" t="inlineStr">
        <is>
          <t>Mangler i en af kilderne</t>
        </is>
      </c>
    </row>
    <row r="298">
      <c r="A298" s="12" t="inlineStr">
        <is>
          <t>Ringkøbing Provsti</t>
        </is>
      </c>
      <c r="B298" s="12" t="inlineStr">
        <is>
          <t>Maks. stiftsbidrag 1 % (t.kr.)</t>
        </is>
      </c>
      <c r="C298" s="13" t="n"/>
      <c r="D298" s="13" t="n">
        <v>0</v>
      </c>
      <c r="E298" s="13" t="n"/>
      <c r="F298" s="12" t="inlineStr">
        <is>
          <t>Mangler i en af kilderne</t>
        </is>
      </c>
    </row>
    <row r="299">
      <c r="A299" s="12" t="inlineStr">
        <is>
          <t>Skads Provsti</t>
        </is>
      </c>
      <c r="B299" s="12" t="inlineStr">
        <is>
          <t>Indbyggertal</t>
        </is>
      </c>
      <c r="C299" s="13" t="n">
        <v>87309</v>
      </c>
      <c r="D299" s="13" t="n">
        <v>87238</v>
      </c>
      <c r="E299" s="13" t="n">
        <v>-71</v>
      </c>
      <c r="F299" s="12" t="inlineStr">
        <is>
          <t>Primær kilde i master er ny tabel, hvis feltet findes dér</t>
        </is>
      </c>
    </row>
    <row r="300">
      <c r="A300" s="12" t="inlineStr">
        <is>
          <t>Skads Provsti</t>
        </is>
      </c>
      <c r="B300" s="12" t="inlineStr">
        <is>
          <t>Folkekirkemedlemmer</t>
        </is>
      </c>
      <c r="C300" s="13" t="n">
        <v>67424</v>
      </c>
      <c r="D300" s="13" t="n">
        <v>67227</v>
      </c>
      <c r="E300" s="13" t="n">
        <v>-197</v>
      </c>
      <c r="F300" s="12" t="inlineStr">
        <is>
          <t>Primær kilde i master er ny tabel, hvis feltet findes dér</t>
        </is>
      </c>
    </row>
    <row r="301">
      <c r="A301" s="12" t="inlineStr">
        <is>
          <t>Skads Provsti</t>
        </is>
      </c>
      <c r="B301" s="12" t="inlineStr">
        <is>
          <t>Medlemsprocent</t>
        </is>
      </c>
      <c r="C301" s="13" t="n">
        <v>0.772</v>
      </c>
      <c r="D301" s="13" t="n">
        <v>0.7706160159563493</v>
      </c>
      <c r="E301" s="13" t="n">
        <v>-0.001383984043650699</v>
      </c>
      <c r="F301" s="12" t="inlineStr">
        <is>
          <t>Primær kilde i master er ny tabel, hvis feltet findes dér</t>
        </is>
      </c>
    </row>
    <row r="302">
      <c r="A302" s="12" t="inlineStr">
        <is>
          <t>Skads Provsti</t>
        </is>
      </c>
      <c r="B302" s="12" t="inlineStr">
        <is>
          <t>Kirker</t>
        </is>
      </c>
      <c r="C302" s="13" t="n"/>
      <c r="D302" s="13" t="n">
        <v>23</v>
      </c>
      <c r="E302" s="13" t="n"/>
      <c r="F302" s="12" t="inlineStr">
        <is>
          <t>Mangler i en af kilderne</t>
        </is>
      </c>
    </row>
    <row r="303">
      <c r="A303" s="12" t="inlineStr">
        <is>
          <t>Skads Provsti</t>
        </is>
      </c>
      <c r="B303" s="12" t="inlineStr">
        <is>
          <t>Lokal ligning t.kr.</t>
        </is>
      </c>
      <c r="C303" s="13" t="n"/>
      <c r="D303" s="13" t="n">
        <v>6306.180463440613</v>
      </c>
      <c r="E303" s="13" t="n"/>
      <c r="F303" s="12" t="inlineStr">
        <is>
          <t>Mangler i en af kilderne</t>
        </is>
      </c>
    </row>
    <row r="304">
      <c r="A304" s="12" t="inlineStr">
        <is>
          <t>Skads Provsti</t>
        </is>
      </c>
      <c r="B304" s="12" t="inlineStr">
        <is>
          <t>Maks. stiftsbidrag 1 % (t.kr.)</t>
        </is>
      </c>
      <c r="C304" s="13" t="n"/>
      <c r="D304" s="13" t="n">
        <v>63.06180463440614</v>
      </c>
      <c r="E304" s="13" t="n"/>
      <c r="F304" s="12" t="inlineStr">
        <is>
          <t>Mangler i en af kilderne</t>
        </is>
      </c>
    </row>
    <row r="305">
      <c r="A305" s="12" t="inlineStr">
        <is>
          <t>Skjern Provsti</t>
        </is>
      </c>
      <c r="B305" s="12" t="inlineStr">
        <is>
          <t>Indbyggertal</t>
        </is>
      </c>
      <c r="C305" s="13" t="n">
        <v>33545</v>
      </c>
      <c r="D305" s="13" t="n">
        <v>33494</v>
      </c>
      <c r="E305" s="13" t="n">
        <v>-51</v>
      </c>
      <c r="F305" s="12" t="inlineStr">
        <is>
          <t>Primær kilde i master er ny tabel, hvis feltet findes dér</t>
        </is>
      </c>
    </row>
    <row r="306">
      <c r="A306" s="12" t="inlineStr">
        <is>
          <t>Skjern Provsti</t>
        </is>
      </c>
      <c r="B306" s="12" t="inlineStr">
        <is>
          <t>Folkekirkemedlemmer</t>
        </is>
      </c>
      <c r="C306" s="13" t="n">
        <v>26802</v>
      </c>
      <c r="D306" s="13" t="n">
        <v>26731</v>
      </c>
      <c r="E306" s="13" t="n">
        <v>-71</v>
      </c>
      <c r="F306" s="12" t="inlineStr">
        <is>
          <t>Primær kilde i master er ny tabel, hvis feltet findes dér</t>
        </is>
      </c>
    </row>
    <row r="307">
      <c r="A307" s="12" t="inlineStr">
        <is>
          <t>Skjern Provsti</t>
        </is>
      </c>
      <c r="B307" s="12" t="inlineStr">
        <is>
          <t>Medlemsprocent</t>
        </is>
      </c>
      <c r="C307" s="13" t="n">
        <v>0.799</v>
      </c>
      <c r="D307" s="13" t="n">
        <v>0.7980832387890369</v>
      </c>
      <c r="E307" s="13" t="n">
        <v>-0.0009167612109631795</v>
      </c>
      <c r="F307" s="12" t="inlineStr">
        <is>
          <t>Primær kilde i master er ny tabel, hvis feltet findes dér</t>
        </is>
      </c>
    </row>
    <row r="308">
      <c r="A308" s="12" t="inlineStr">
        <is>
          <t>Skjern Provsti</t>
        </is>
      </c>
      <c r="B308" s="12" t="inlineStr">
        <is>
          <t>Kirker</t>
        </is>
      </c>
      <c r="C308" s="13" t="n"/>
      <c r="D308" s="13" t="n">
        <v>32</v>
      </c>
      <c r="E308" s="13" t="n"/>
      <c r="F308" s="12" t="inlineStr">
        <is>
          <t>Mangler i en af kilderne</t>
        </is>
      </c>
    </row>
    <row r="309">
      <c r="A309" s="12" t="inlineStr">
        <is>
          <t>Skjern Provsti</t>
        </is>
      </c>
      <c r="B309" s="12" t="inlineStr">
        <is>
          <t>Lokal ligning t.kr.</t>
        </is>
      </c>
      <c r="C309" s="13" t="n"/>
      <c r="D309" s="13" t="n">
        <v>90210.04528903548</v>
      </c>
      <c r="E309" s="13" t="n"/>
      <c r="F309" s="12" t="inlineStr">
        <is>
          <t>Mangler i en af kilderne</t>
        </is>
      </c>
    </row>
    <row r="310">
      <c r="A310" s="12" t="inlineStr">
        <is>
          <t>Skjern Provsti</t>
        </is>
      </c>
      <c r="B310" s="12" t="inlineStr">
        <is>
          <t>Maks. stiftsbidrag 1 % (t.kr.)</t>
        </is>
      </c>
      <c r="C310" s="13" t="n"/>
      <c r="D310" s="13" t="n">
        <v>902.1004528903549</v>
      </c>
      <c r="E310" s="13" t="n"/>
      <c r="F310" s="12" t="inlineStr">
        <is>
          <t>Mangler i en af kilderne</t>
        </is>
      </c>
    </row>
    <row r="311">
      <c r="A311" s="12" t="inlineStr">
        <is>
          <t>Tønder Provsti</t>
        </is>
      </c>
      <c r="B311" s="12" t="inlineStr">
        <is>
          <t>Indbyggertal</t>
        </is>
      </c>
      <c r="C311" s="13" t="n">
        <v>36165</v>
      </c>
      <c r="D311" s="13" t="n">
        <v>36209</v>
      </c>
      <c r="E311" s="13" t="n">
        <v>44</v>
      </c>
      <c r="F311" s="12" t="inlineStr">
        <is>
          <t>Primær kilde i master er ny tabel, hvis feltet findes dér</t>
        </is>
      </c>
    </row>
    <row r="312">
      <c r="A312" s="12" t="inlineStr">
        <is>
          <t>Tønder Provsti</t>
        </is>
      </c>
      <c r="B312" s="12" t="inlineStr">
        <is>
          <t>Folkekirkemedlemmer</t>
        </is>
      </c>
      <c r="C312" s="13" t="n">
        <v>27950</v>
      </c>
      <c r="D312" s="13" t="n">
        <v>27884</v>
      </c>
      <c r="E312" s="13" t="n">
        <v>-66</v>
      </c>
      <c r="F312" s="12" t="inlineStr">
        <is>
          <t>Primær kilde i master er ny tabel, hvis feltet findes dér</t>
        </is>
      </c>
    </row>
    <row r="313">
      <c r="A313" s="12" t="inlineStr">
        <is>
          <t>Tønder Provsti</t>
        </is>
      </c>
      <c r="B313" s="12" t="inlineStr">
        <is>
          <t>Medlemsprocent</t>
        </is>
      </c>
      <c r="C313" s="13" t="n">
        <v>0.773</v>
      </c>
      <c r="D313" s="13" t="n">
        <v>0.7700847855505537</v>
      </c>
      <c r="E313" s="13" t="n">
        <v>-0.002915214449446313</v>
      </c>
      <c r="F313" s="12" t="inlineStr">
        <is>
          <t>Primær kilde i master er ny tabel, hvis feltet findes dér</t>
        </is>
      </c>
    </row>
    <row r="314">
      <c r="A314" s="12" t="inlineStr">
        <is>
          <t>Tønder Provsti</t>
        </is>
      </c>
      <c r="B314" s="12" t="inlineStr">
        <is>
          <t>Kirker</t>
        </is>
      </c>
      <c r="C314" s="13" t="n"/>
      <c r="D314" s="13" t="n">
        <v>32</v>
      </c>
      <c r="E314" s="13" t="n"/>
      <c r="F314" s="12" t="inlineStr">
        <is>
          <t>Mangler i en af kilderne</t>
        </is>
      </c>
    </row>
    <row r="315">
      <c r="A315" s="12" t="inlineStr">
        <is>
          <t>Tønder Provsti</t>
        </is>
      </c>
      <c r="B315" s="12" t="inlineStr">
        <is>
          <t>Lokal ligning t.kr.</t>
        </is>
      </c>
      <c r="C315" s="13" t="n"/>
      <c r="D315" s="13" t="n">
        <v>61866.46978273064</v>
      </c>
      <c r="E315" s="13" t="n"/>
      <c r="F315" s="12" t="inlineStr">
        <is>
          <t>Mangler i en af kilderne</t>
        </is>
      </c>
    </row>
    <row r="316">
      <c r="A316" s="12" t="inlineStr">
        <is>
          <t>Tønder Provsti</t>
        </is>
      </c>
      <c r="B316" s="12" t="inlineStr">
        <is>
          <t>Maks. stiftsbidrag 1 % (t.kr.)</t>
        </is>
      </c>
      <c r="C316" s="13" t="n"/>
      <c r="D316" s="13" t="n">
        <v>618.6646978273064</v>
      </c>
      <c r="E316" s="13" t="n"/>
      <c r="F316" s="12" t="inlineStr">
        <is>
          <t>Mangler i en af kilderne</t>
        </is>
      </c>
    </row>
    <row r="317">
      <c r="A317" s="12" t="inlineStr">
        <is>
          <t>Varde Provsti</t>
        </is>
      </c>
      <c r="B317" s="12" t="inlineStr">
        <is>
          <t>Indbyggertal</t>
        </is>
      </c>
      <c r="C317" s="13" t="n">
        <v>49151</v>
      </c>
      <c r="D317" s="13" t="n">
        <v>49123</v>
      </c>
      <c r="E317" s="13" t="n">
        <v>-28</v>
      </c>
      <c r="F317" s="12" t="inlineStr">
        <is>
          <t>Primær kilde i master er ny tabel, hvis feltet findes dér</t>
        </is>
      </c>
    </row>
    <row r="318">
      <c r="A318" s="12" t="inlineStr">
        <is>
          <t>Varde Provsti</t>
        </is>
      </c>
      <c r="B318" s="12" t="inlineStr">
        <is>
          <t>Folkekirkemedlemmer</t>
        </is>
      </c>
      <c r="C318" s="13" t="n">
        <v>40236</v>
      </c>
      <c r="D318" s="13" t="n">
        <v>40165</v>
      </c>
      <c r="E318" s="13" t="n">
        <v>-71</v>
      </c>
      <c r="F318" s="12" t="inlineStr">
        <is>
          <t>Primær kilde i master er ny tabel, hvis feltet findes dér</t>
        </is>
      </c>
    </row>
    <row r="319">
      <c r="A319" s="12" t="inlineStr">
        <is>
          <t>Varde Provsti</t>
        </is>
      </c>
      <c r="B319" s="12" t="inlineStr">
        <is>
          <t>Medlemsprocent</t>
        </is>
      </c>
      <c r="C319" s="13" t="n">
        <v>0.8190000000000001</v>
      </c>
      <c r="D319" s="13" t="n">
        <v>0.8176414306943794</v>
      </c>
      <c r="E319" s="13" t="n">
        <v>-0.001358569305620616</v>
      </c>
      <c r="F319" s="12" t="inlineStr">
        <is>
          <t>Primær kilde i master er ny tabel, hvis feltet findes dér</t>
        </is>
      </c>
    </row>
    <row r="320">
      <c r="A320" s="12" t="inlineStr">
        <is>
          <t>Varde Provsti</t>
        </is>
      </c>
      <c r="B320" s="12" t="inlineStr">
        <is>
          <t>Kirker</t>
        </is>
      </c>
      <c r="C320" s="13" t="n"/>
      <c r="D320" s="13" t="n">
        <v>34</v>
      </c>
      <c r="E320" s="13" t="n"/>
      <c r="F320" s="12" t="inlineStr">
        <is>
          <t>Mangler i en af kilderne</t>
        </is>
      </c>
    </row>
    <row r="321">
      <c r="A321" s="12" t="inlineStr">
        <is>
          <t>Varde Provsti</t>
        </is>
      </c>
      <c r="B321" s="12" t="inlineStr">
        <is>
          <t>Lokal ligning t.kr.</t>
        </is>
      </c>
      <c r="C321" s="13" t="n"/>
      <c r="D321" s="13" t="n">
        <v>71551.38231542647</v>
      </c>
      <c r="E321" s="13" t="n"/>
      <c r="F321" s="12" t="inlineStr">
        <is>
          <t>Mangler i en af kilderne</t>
        </is>
      </c>
    </row>
    <row r="322">
      <c r="A322" s="12" t="inlineStr">
        <is>
          <t>Varde Provsti</t>
        </is>
      </c>
      <c r="B322" s="12" t="inlineStr">
        <is>
          <t>Maks. stiftsbidrag 1 % (t.kr.)</t>
        </is>
      </c>
      <c r="C322" s="13" t="n"/>
      <c r="D322" s="13" t="n">
        <v>715.5138231542647</v>
      </c>
      <c r="E322" s="13" t="n"/>
      <c r="F322" s="12" t="inlineStr">
        <is>
          <t>Mangler i en af kilderne</t>
        </is>
      </c>
    </row>
    <row r="323">
      <c r="A323" s="12" t="inlineStr">
        <is>
          <t>Greve-Solrød Provsti</t>
        </is>
      </c>
      <c r="B323" s="12" t="inlineStr">
        <is>
          <t>Indbyggertal</t>
        </is>
      </c>
      <c r="C323" s="13" t="n">
        <v>79160</v>
      </c>
      <c r="D323" s="13" t="n">
        <v>79287</v>
      </c>
      <c r="E323" s="13" t="n">
        <v>127</v>
      </c>
      <c r="F323" s="12" t="inlineStr">
        <is>
          <t>Primær kilde i master er ny tabel, hvis feltet findes dér</t>
        </is>
      </c>
    </row>
    <row r="324">
      <c r="A324" s="12" t="inlineStr">
        <is>
          <t>Greve-Solrød Provsti</t>
        </is>
      </c>
      <c r="B324" s="12" t="inlineStr">
        <is>
          <t>Folkekirkemedlemmer</t>
        </is>
      </c>
      <c r="C324" s="13" t="n">
        <v>54040</v>
      </c>
      <c r="D324" s="13" t="n">
        <v>53995</v>
      </c>
      <c r="E324" s="13" t="n">
        <v>-45</v>
      </c>
      <c r="F324" s="12" t="inlineStr">
        <is>
          <t>Primær kilde i master er ny tabel, hvis feltet findes dér</t>
        </is>
      </c>
    </row>
    <row r="325">
      <c r="A325" s="12" t="inlineStr">
        <is>
          <t>Greve-Solrød Provsti</t>
        </is>
      </c>
      <c r="B325" s="12" t="inlineStr">
        <is>
          <t>Medlemsprocent</t>
        </is>
      </c>
      <c r="C325" s="13" t="n">
        <v>0.6829999999999999</v>
      </c>
      <c r="D325" s="13" t="n">
        <v>0.6810069746616721</v>
      </c>
      <c r="E325" s="13" t="n">
        <v>-0.001993025338327792</v>
      </c>
      <c r="F325" s="12" t="inlineStr">
        <is>
          <t>Primær kilde i master er ny tabel, hvis feltet findes dér</t>
        </is>
      </c>
    </row>
    <row r="326">
      <c r="A326" s="12" t="inlineStr">
        <is>
          <t>Greve-Solrød Provsti</t>
        </is>
      </c>
      <c r="B326" s="12" t="inlineStr">
        <is>
          <t>Kirker</t>
        </is>
      </c>
      <c r="C326" s="13" t="n">
        <v>16</v>
      </c>
      <c r="D326" s="13" t="n">
        <v>17</v>
      </c>
      <c r="E326" s="13" t="n">
        <v>1</v>
      </c>
      <c r="F326" s="12" t="inlineStr">
        <is>
          <t>Primær kilde i master er ny tabel, hvis feltet findes dér</t>
        </is>
      </c>
    </row>
    <row r="327">
      <c r="A327" s="12" t="inlineStr">
        <is>
          <t>Greve-Solrød Provsti</t>
        </is>
      </c>
      <c r="B327" s="12" t="inlineStr">
        <is>
          <t>Lokal ligning t.kr.</t>
        </is>
      </c>
      <c r="C327" s="13" t="n">
        <v>92943</v>
      </c>
      <c r="D327" s="13" t="n">
        <v>92943.02160767558</v>
      </c>
      <c r="E327" s="13" t="n">
        <v>0.02160767557506915</v>
      </c>
      <c r="F327" s="12" t="inlineStr">
        <is>
          <t>Primær kilde i master er ny tabel, hvis feltet findes dér</t>
        </is>
      </c>
    </row>
    <row r="328">
      <c r="A328" s="12" t="inlineStr">
        <is>
          <t>Greve-Solrød Provsti</t>
        </is>
      </c>
      <c r="B328" s="12" t="inlineStr">
        <is>
          <t>Maks. stiftsbidrag 1 % (t.kr.)</t>
        </is>
      </c>
      <c r="C328" s="13" t="n">
        <v>929</v>
      </c>
      <c r="D328" s="13" t="n">
        <v>929.4302160767559</v>
      </c>
      <c r="E328" s="13" t="n">
        <v>0.4302160767558689</v>
      </c>
      <c r="F328" s="12" t="inlineStr">
        <is>
          <t>Primær kilde i master er ny tabel, hvis feltet findes dér</t>
        </is>
      </c>
    </row>
    <row r="329">
      <c r="A329" s="12" t="inlineStr">
        <is>
          <t>Holbæk Provsti</t>
        </is>
      </c>
      <c r="B329" s="12" t="inlineStr">
        <is>
          <t>Indbyggertal</t>
        </is>
      </c>
      <c r="C329" s="13" t="n">
        <v>75009</v>
      </c>
      <c r="D329" s="13" t="n">
        <v>75129</v>
      </c>
      <c r="E329" s="13" t="n">
        <v>120</v>
      </c>
      <c r="F329" s="12" t="inlineStr">
        <is>
          <t>Primær kilde i master er ny tabel, hvis feltet findes dér</t>
        </is>
      </c>
    </row>
    <row r="330">
      <c r="A330" s="12" t="inlineStr">
        <is>
          <t>Holbæk Provsti</t>
        </is>
      </c>
      <c r="B330" s="12" t="inlineStr">
        <is>
          <t>Folkekirkemedlemmer</t>
        </is>
      </c>
      <c r="C330" s="13" t="n">
        <v>55913</v>
      </c>
      <c r="D330" s="13" t="n">
        <v>55936</v>
      </c>
      <c r="E330" s="13" t="n">
        <v>23</v>
      </c>
      <c r="F330" s="12" t="inlineStr">
        <is>
          <t>Primær kilde i master er ny tabel, hvis feltet findes dér</t>
        </is>
      </c>
    </row>
    <row r="331">
      <c r="A331" s="12" t="inlineStr">
        <is>
          <t>Holbæk Provsti</t>
        </is>
      </c>
      <c r="B331" s="12" t="inlineStr">
        <is>
          <t>Medlemsprocent</t>
        </is>
      </c>
      <c r="C331" s="13" t="n">
        <v>0.745</v>
      </c>
      <c r="D331" s="13" t="n">
        <v>0.7445327370256493</v>
      </c>
      <c r="E331" s="13" t="n">
        <v>-0.000467262974350735</v>
      </c>
      <c r="F331" s="12" t="inlineStr">
        <is>
          <t>Primær kilde i master er ny tabel, hvis feltet findes dér</t>
        </is>
      </c>
    </row>
    <row r="332">
      <c r="A332" s="12" t="inlineStr">
        <is>
          <t>Holbæk Provsti</t>
        </is>
      </c>
      <c r="B332" s="12" t="inlineStr">
        <is>
          <t>Kirker</t>
        </is>
      </c>
      <c r="C332" s="13" t="n">
        <v>36</v>
      </c>
      <c r="D332" s="13" t="n">
        <v>37</v>
      </c>
      <c r="E332" s="13" t="n">
        <v>1</v>
      </c>
      <c r="F332" s="12" t="inlineStr">
        <is>
          <t>Primær kilde i master er ny tabel, hvis feltet findes dér</t>
        </is>
      </c>
    </row>
    <row r="333">
      <c r="A333" s="12" t="inlineStr">
        <is>
          <t>Holbæk Provsti</t>
        </is>
      </c>
      <c r="B333" s="12" t="inlineStr">
        <is>
          <t>Lokal ligning t.kr.</t>
        </is>
      </c>
      <c r="C333" s="13" t="n">
        <v>104453</v>
      </c>
      <c r="D333" s="13" t="n">
        <v>104452.7251750668</v>
      </c>
      <c r="E333" s="13" t="n">
        <v>-0.2748249332071282</v>
      </c>
      <c r="F333" s="12" t="inlineStr">
        <is>
          <t>Primær kilde i master er ny tabel, hvis feltet findes dér</t>
        </is>
      </c>
    </row>
    <row r="334">
      <c r="A334" s="12" t="inlineStr">
        <is>
          <t>Holbæk Provsti</t>
        </is>
      </c>
      <c r="B334" s="12" t="inlineStr">
        <is>
          <t>Maks. stiftsbidrag 1 % (t.kr.)</t>
        </is>
      </c>
      <c r="C334" s="13" t="n">
        <v>1045</v>
      </c>
      <c r="D334" s="13" t="n">
        <v>1044.527251750668</v>
      </c>
      <c r="E334" s="13" t="n">
        <v>-0.4727482493319712</v>
      </c>
      <c r="F334" s="12" t="inlineStr">
        <is>
          <t>Primær kilde i master er ny tabel, hvis feltet findes dér</t>
        </is>
      </c>
    </row>
    <row r="335">
      <c r="A335" s="12" t="inlineStr">
        <is>
          <t>Kalundborg Provsti</t>
        </is>
      </c>
      <c r="B335" s="12" t="inlineStr">
        <is>
          <t>Indbyggertal</t>
        </is>
      </c>
      <c r="C335" s="13" t="n">
        <v>47957</v>
      </c>
      <c r="D335" s="13" t="n">
        <v>47842</v>
      </c>
      <c r="E335" s="13" t="n">
        <v>-115</v>
      </c>
      <c r="F335" s="12" t="inlineStr">
        <is>
          <t>Primær kilde i master er ny tabel, hvis feltet findes dér</t>
        </is>
      </c>
    </row>
    <row r="336">
      <c r="A336" s="12" t="inlineStr">
        <is>
          <t>Kalundborg Provsti</t>
        </is>
      </c>
      <c r="B336" s="12" t="inlineStr">
        <is>
          <t>Folkekirkemedlemmer</t>
        </is>
      </c>
      <c r="C336" s="13" t="n">
        <v>37277</v>
      </c>
      <c r="D336" s="13" t="n">
        <v>37125</v>
      </c>
      <c r="E336" s="13" t="n">
        <v>-152</v>
      </c>
      <c r="F336" s="12" t="inlineStr">
        <is>
          <t>Primær kilde i master er ny tabel, hvis feltet findes dér</t>
        </is>
      </c>
    </row>
    <row r="337">
      <c r="A337" s="12" t="inlineStr">
        <is>
          <t>Kalundborg Provsti</t>
        </is>
      </c>
      <c r="B337" s="12" t="inlineStr">
        <is>
          <t>Medlemsprocent</t>
        </is>
      </c>
      <c r="C337" s="13" t="n">
        <v>0.777</v>
      </c>
      <c r="D337" s="13" t="n">
        <v>0.7759918063626102</v>
      </c>
      <c r="E337" s="13" t="n">
        <v>-0.001008193637389798</v>
      </c>
      <c r="F337" s="12" t="inlineStr">
        <is>
          <t>Primær kilde i master er ny tabel, hvis feltet findes dér</t>
        </is>
      </c>
    </row>
    <row r="338">
      <c r="A338" s="12" t="inlineStr">
        <is>
          <t>Kalundborg Provsti</t>
        </is>
      </c>
      <c r="B338" s="12" t="inlineStr">
        <is>
          <t>Lokal ligning t.kr.</t>
        </is>
      </c>
      <c r="C338" s="13" t="n">
        <v>75083</v>
      </c>
      <c r="D338" s="13" t="n">
        <v>75082.73765439382</v>
      </c>
      <c r="E338" s="13" t="n">
        <v>-0.2623456061846809</v>
      </c>
      <c r="F338" s="12" t="inlineStr">
        <is>
          <t>Primær kilde i master er ny tabel, hvis feltet findes dér</t>
        </is>
      </c>
    </row>
    <row r="339">
      <c r="A339" s="12" t="inlineStr">
        <is>
          <t>Kalundborg Provsti</t>
        </is>
      </c>
      <c r="B339" s="12" t="inlineStr">
        <is>
          <t>Maks. stiftsbidrag 1 % (t.kr.)</t>
        </is>
      </c>
      <c r="C339" s="13" t="n">
        <v>751</v>
      </c>
      <c r="D339" s="13" t="n">
        <v>750.8273765439382</v>
      </c>
      <c r="E339" s="13" t="n">
        <v>-0.1726234560618423</v>
      </c>
      <c r="F339" s="12" t="inlineStr">
        <is>
          <t>Primær kilde i master er ny tabel, hvis feltet findes dér</t>
        </is>
      </c>
    </row>
    <row r="340">
      <c r="A340" s="12" t="inlineStr">
        <is>
          <t>Køge Provsti</t>
        </is>
      </c>
      <c r="B340" s="12" t="inlineStr">
        <is>
          <t>Indbyggertal</t>
        </is>
      </c>
      <c r="C340" s="13" t="n">
        <v>63988</v>
      </c>
      <c r="D340" s="13" t="n">
        <v>64048</v>
      </c>
      <c r="E340" s="13" t="n">
        <v>60</v>
      </c>
      <c r="F340" s="12" t="inlineStr">
        <is>
          <t>Primær kilde i master er ny tabel, hvis feltet findes dér</t>
        </is>
      </c>
    </row>
    <row r="341">
      <c r="A341" s="12" t="inlineStr">
        <is>
          <t>Køge Provsti</t>
        </is>
      </c>
      <c r="B341" s="12" t="inlineStr">
        <is>
          <t>Folkekirkemedlemmer</t>
        </is>
      </c>
      <c r="C341" s="13" t="n">
        <v>45358</v>
      </c>
      <c r="D341" s="13" t="n">
        <v>45332</v>
      </c>
      <c r="E341" s="13" t="n">
        <v>-26</v>
      </c>
      <c r="F341" s="12" t="inlineStr">
        <is>
          <t>Primær kilde i master er ny tabel, hvis feltet findes dér</t>
        </is>
      </c>
    </row>
    <row r="342">
      <c r="A342" s="12" t="inlineStr">
        <is>
          <t>Køge Provsti</t>
        </is>
      </c>
      <c r="B342" s="12" t="inlineStr">
        <is>
          <t>Medlemsprocent</t>
        </is>
      </c>
      <c r="C342" s="13" t="n">
        <v>0.7090000000000001</v>
      </c>
      <c r="D342" s="13" t="n">
        <v>0.7077816637521859</v>
      </c>
      <c r="E342" s="13" t="n">
        <v>-0.0012183362478142</v>
      </c>
      <c r="F342" s="12" t="inlineStr">
        <is>
          <t>Primær kilde i master er ny tabel, hvis feltet findes dér</t>
        </is>
      </c>
    </row>
    <row r="343">
      <c r="A343" s="12" t="inlineStr">
        <is>
          <t>Køge Provsti</t>
        </is>
      </c>
      <c r="B343" s="12" t="inlineStr">
        <is>
          <t>Lokal ligning t.kr.</t>
        </is>
      </c>
      <c r="C343" s="13" t="n">
        <v>79246</v>
      </c>
      <c r="D343" s="13" t="n">
        <v>79246.17589303269</v>
      </c>
      <c r="E343" s="13" t="n">
        <v>0.1758930326905102</v>
      </c>
      <c r="F343" s="12" t="inlineStr">
        <is>
          <t>Primær kilde i master er ny tabel, hvis feltet findes dér</t>
        </is>
      </c>
    </row>
    <row r="344">
      <c r="A344" s="12" t="inlineStr">
        <is>
          <t>Køge Provsti</t>
        </is>
      </c>
      <c r="B344" s="12" t="inlineStr">
        <is>
          <t>Maks. stiftsbidrag 1 % (t.kr.)</t>
        </is>
      </c>
      <c r="C344" s="13" t="n">
        <v>792</v>
      </c>
      <c r="D344" s="13" t="n">
        <v>792.4617589303269</v>
      </c>
      <c r="E344" s="13" t="n">
        <v>0.4617589303269369</v>
      </c>
      <c r="F344" s="12" t="inlineStr">
        <is>
          <t>Primær kilde i master er ny tabel, hvis feltet findes dér</t>
        </is>
      </c>
    </row>
    <row r="345">
      <c r="A345" s="12" t="inlineStr">
        <is>
          <t>Lejre Provsti</t>
        </is>
      </c>
      <c r="B345" s="12" t="inlineStr">
        <is>
          <t>Indbyggertal</t>
        </is>
      </c>
      <c r="C345" s="13" t="n">
        <v>29879</v>
      </c>
      <c r="D345" s="13" t="n">
        <v>29938</v>
      </c>
      <c r="E345" s="13" t="n">
        <v>59</v>
      </c>
      <c r="F345" s="12" t="inlineStr">
        <is>
          <t>Primær kilde i master er ny tabel, hvis feltet findes dér</t>
        </is>
      </c>
    </row>
    <row r="346">
      <c r="A346" s="12" t="inlineStr">
        <is>
          <t>Lejre Provsti</t>
        </is>
      </c>
      <c r="B346" s="12" t="inlineStr">
        <is>
          <t>Folkekirkemedlemmer</t>
        </is>
      </c>
      <c r="C346" s="13" t="n">
        <v>21259</v>
      </c>
      <c r="D346" s="13" t="n">
        <v>21267</v>
      </c>
      <c r="E346" s="13" t="n">
        <v>8</v>
      </c>
      <c r="F346" s="12" t="inlineStr">
        <is>
          <t>Primær kilde i master er ny tabel, hvis feltet findes dér</t>
        </is>
      </c>
    </row>
    <row r="347">
      <c r="A347" s="12" t="inlineStr">
        <is>
          <t>Lejre Provsti</t>
        </is>
      </c>
      <c r="B347" s="12" t="inlineStr">
        <is>
          <t>Medlemsprocent</t>
        </is>
      </c>
      <c r="C347" s="13" t="n">
        <v>0.7120000000000001</v>
      </c>
      <c r="D347" s="13" t="n">
        <v>0.7103680940610595</v>
      </c>
      <c r="E347" s="13" t="n">
        <v>-0.001631905938940581</v>
      </c>
      <c r="F347" s="12" t="inlineStr">
        <is>
          <t>Primær kilde i master er ny tabel, hvis feltet findes dér</t>
        </is>
      </c>
    </row>
    <row r="348">
      <c r="A348" s="12" t="inlineStr">
        <is>
          <t>Lejre Provsti</t>
        </is>
      </c>
      <c r="B348" s="12" t="inlineStr">
        <is>
          <t>Lokal ligning t.kr.</t>
        </is>
      </c>
      <c r="C348" s="13" t="n">
        <v>46806</v>
      </c>
      <c r="D348" s="13" t="n">
        <v>46805.56278502608</v>
      </c>
      <c r="E348" s="13" t="n">
        <v>-0.4372149739210727</v>
      </c>
      <c r="F348" s="12" t="inlineStr">
        <is>
          <t>Primær kilde i master er ny tabel, hvis feltet findes dér</t>
        </is>
      </c>
    </row>
    <row r="349">
      <c r="A349" s="12" t="inlineStr">
        <is>
          <t>Lejre Provsti</t>
        </is>
      </c>
      <c r="B349" s="12" t="inlineStr">
        <is>
          <t>Maks. stiftsbidrag 1 % (t.kr.)</t>
        </is>
      </c>
      <c r="C349" s="13" t="n">
        <v>468</v>
      </c>
      <c r="D349" s="13" t="n">
        <v>468.0556278502608</v>
      </c>
      <c r="E349" s="13" t="n">
        <v>0.05562785026080519</v>
      </c>
      <c r="F349" s="12" t="inlineStr">
        <is>
          <t>Primær kilde i master er ny tabel, hvis feltet findes dér</t>
        </is>
      </c>
    </row>
    <row r="350">
      <c r="A350" s="12" t="inlineStr">
        <is>
          <t>Næstved Provsti</t>
        </is>
      </c>
      <c r="B350" s="12" t="inlineStr">
        <is>
          <t>Indbyggertal</t>
        </is>
      </c>
      <c r="C350" s="13" t="n">
        <v>85163</v>
      </c>
      <c r="D350" s="13" t="n">
        <v>85178</v>
      </c>
      <c r="E350" s="13" t="n">
        <v>15</v>
      </c>
      <c r="F350" s="12" t="inlineStr">
        <is>
          <t>Primær kilde i master er ny tabel, hvis feltet findes dér</t>
        </is>
      </c>
    </row>
    <row r="351">
      <c r="A351" s="12" t="inlineStr">
        <is>
          <t>Næstved Provsti</t>
        </is>
      </c>
      <c r="B351" s="12" t="inlineStr">
        <is>
          <t>Folkekirkemedlemmer</t>
        </is>
      </c>
      <c r="C351" s="13" t="n">
        <v>66135</v>
      </c>
      <c r="D351" s="13" t="n">
        <v>65962</v>
      </c>
      <c r="E351" s="13" t="n">
        <v>-173</v>
      </c>
      <c r="F351" s="12" t="inlineStr">
        <is>
          <t>Primær kilde i master er ny tabel, hvis feltet findes dér</t>
        </is>
      </c>
    </row>
    <row r="352">
      <c r="A352" s="12" t="inlineStr">
        <is>
          <t>Næstved Provsti</t>
        </is>
      </c>
      <c r="B352" s="12" t="inlineStr">
        <is>
          <t>Medlemsprocent</t>
        </is>
      </c>
      <c r="C352" s="13" t="n">
        <v>0.777</v>
      </c>
      <c r="D352" s="13" t="n">
        <v>0.7744018408509239</v>
      </c>
      <c r="E352" s="13" t="n">
        <v>-0.002598159149076129</v>
      </c>
      <c r="F352" s="12" t="inlineStr">
        <is>
          <t>Primær kilde i master er ny tabel, hvis feltet findes dér</t>
        </is>
      </c>
    </row>
    <row r="353">
      <c r="A353" s="12" t="inlineStr">
        <is>
          <t>Næstved Provsti</t>
        </is>
      </c>
      <c r="B353" s="12" t="inlineStr">
        <is>
          <t>Kirker</t>
        </is>
      </c>
      <c r="C353" s="13" t="n">
        <v>46</v>
      </c>
      <c r="D353" s="13" t="n">
        <v>47</v>
      </c>
      <c r="E353" s="13" t="n">
        <v>1</v>
      </c>
      <c r="F353" s="12" t="inlineStr">
        <is>
          <t>Primær kilde i master er ny tabel, hvis feltet findes dér</t>
        </is>
      </c>
    </row>
    <row r="354">
      <c r="A354" s="12" t="inlineStr">
        <is>
          <t>Næstved Provsti</t>
        </is>
      </c>
      <c r="B354" s="12" t="inlineStr">
        <is>
          <t>Lokal ligning t.kr.</t>
        </is>
      </c>
      <c r="C354" s="13" t="n">
        <v>120830</v>
      </c>
      <c r="D354" s="13" t="n">
        <v>120829.6529415628</v>
      </c>
      <c r="E354" s="13" t="n">
        <v>-0.3470584371971199</v>
      </c>
      <c r="F354" s="12" t="inlineStr">
        <is>
          <t>Primær kilde i master er ny tabel, hvis feltet findes dér</t>
        </is>
      </c>
    </row>
    <row r="355">
      <c r="A355" s="12" t="inlineStr">
        <is>
          <t>Næstved Provsti</t>
        </is>
      </c>
      <c r="B355" s="12" t="inlineStr">
        <is>
          <t>Maks. stiftsbidrag 1 % (t.kr.)</t>
        </is>
      </c>
      <c r="C355" s="13" t="n">
        <v>1208</v>
      </c>
      <c r="D355" s="13" t="n">
        <v>1208.296529415628</v>
      </c>
      <c r="E355" s="13" t="n">
        <v>0.2965294156279015</v>
      </c>
      <c r="F355" s="12" t="inlineStr">
        <is>
          <t>Primær kilde i master er ny tabel, hvis feltet findes dér</t>
        </is>
      </c>
    </row>
    <row r="356">
      <c r="A356" s="12" t="inlineStr">
        <is>
          <t>Odsherred Provsti</t>
        </is>
      </c>
      <c r="B356" s="12" t="inlineStr">
        <is>
          <t>Indbyggertal</t>
        </is>
      </c>
      <c r="C356" s="13" t="n">
        <v>31988</v>
      </c>
      <c r="D356" s="13" t="n">
        <v>31934</v>
      </c>
      <c r="E356" s="13" t="n">
        <v>-54</v>
      </c>
      <c r="F356" s="12" t="inlineStr">
        <is>
          <t>Primær kilde i master er ny tabel, hvis feltet findes dér</t>
        </is>
      </c>
    </row>
    <row r="357">
      <c r="A357" s="12" t="inlineStr">
        <is>
          <t>Odsherred Provsti</t>
        </is>
      </c>
      <c r="B357" s="12" t="inlineStr">
        <is>
          <t>Folkekirkemedlemmer</t>
        </is>
      </c>
      <c r="C357" s="13" t="n">
        <v>25123</v>
      </c>
      <c r="D357" s="13" t="n">
        <v>25048</v>
      </c>
      <c r="E357" s="13" t="n">
        <v>-75</v>
      </c>
      <c r="F357" s="12" t="inlineStr">
        <is>
          <t>Primær kilde i master er ny tabel, hvis feltet findes dér</t>
        </is>
      </c>
    </row>
    <row r="358">
      <c r="A358" s="12" t="inlineStr">
        <is>
          <t>Odsherred Provsti</t>
        </is>
      </c>
      <c r="B358" s="12" t="inlineStr">
        <is>
          <t>Medlemsprocent</t>
        </is>
      </c>
      <c r="C358" s="13" t="n">
        <v>0.785</v>
      </c>
      <c r="D358" s="13" t="n">
        <v>0.7843677585019102</v>
      </c>
      <c r="E358" s="13" t="n">
        <v>-0.000632241498089825</v>
      </c>
      <c r="F358" s="12" t="inlineStr">
        <is>
          <t>Primær kilde i master er ny tabel, hvis feltet findes dér</t>
        </is>
      </c>
    </row>
    <row r="359">
      <c r="A359" s="12" t="inlineStr">
        <is>
          <t>Odsherred Provsti</t>
        </is>
      </c>
      <c r="B359" s="12" t="inlineStr">
        <is>
          <t>Kirker</t>
        </is>
      </c>
      <c r="C359" s="13" t="n">
        <v>20</v>
      </c>
      <c r="D359" s="13" t="n">
        <v>19</v>
      </c>
      <c r="E359" s="13" t="n">
        <v>-1</v>
      </c>
      <c r="F359" s="12" t="inlineStr">
        <is>
          <t>Primær kilde i master er ny tabel, hvis feltet findes dér</t>
        </is>
      </c>
    </row>
    <row r="360">
      <c r="A360" s="12" t="inlineStr">
        <is>
          <t>Odsherred Provsti</t>
        </is>
      </c>
      <c r="B360" s="12" t="inlineStr">
        <is>
          <t>Lokal ligning t.kr.</t>
        </is>
      </c>
      <c r="C360" s="13" t="n">
        <v>46245</v>
      </c>
      <c r="D360" s="13" t="n">
        <v>46244.92802511014</v>
      </c>
      <c r="E360" s="13" t="n">
        <v>-0.07197488986275857</v>
      </c>
      <c r="F360" s="12" t="inlineStr">
        <is>
          <t>Primær kilde i master er ny tabel, hvis feltet findes dér</t>
        </is>
      </c>
    </row>
    <row r="361">
      <c r="A361" s="12" t="inlineStr">
        <is>
          <t>Odsherred Provsti</t>
        </is>
      </c>
      <c r="B361" s="12" t="inlineStr">
        <is>
          <t>Maks. stiftsbidrag 1 % (t.kr.)</t>
        </is>
      </c>
      <c r="C361" s="13" t="n">
        <v>462</v>
      </c>
      <c r="D361" s="13" t="n">
        <v>462.4492802511014</v>
      </c>
      <c r="E361" s="13" t="n">
        <v>0.4492802511014133</v>
      </c>
      <c r="F361" s="12" t="inlineStr">
        <is>
          <t>Primær kilde i master er ny tabel, hvis feltet findes dér</t>
        </is>
      </c>
    </row>
    <row r="362">
      <c r="A362" s="12" t="inlineStr">
        <is>
          <t>Ringsted-Sorø Provsti</t>
        </is>
      </c>
      <c r="B362" s="12" t="inlineStr">
        <is>
          <t>Indbyggertal</t>
        </is>
      </c>
      <c r="C362" s="13" t="n">
        <v>66860</v>
      </c>
      <c r="D362" s="13" t="n">
        <v>66955</v>
      </c>
      <c r="E362" s="13" t="n">
        <v>95</v>
      </c>
      <c r="F362" s="12" t="inlineStr">
        <is>
          <t>Primær kilde i master er ny tabel, hvis feltet findes dér</t>
        </is>
      </c>
    </row>
    <row r="363">
      <c r="A363" s="12" t="inlineStr">
        <is>
          <t>Ringsted-Sorø Provsti</t>
        </is>
      </c>
      <c r="B363" s="12" t="inlineStr">
        <is>
          <t>Folkekirkemedlemmer</t>
        </is>
      </c>
      <c r="C363" s="13" t="n">
        <v>48987</v>
      </c>
      <c r="D363" s="13" t="n">
        <v>48894</v>
      </c>
      <c r="E363" s="13" t="n">
        <v>-93</v>
      </c>
      <c r="F363" s="12" t="inlineStr">
        <is>
          <t>Primær kilde i master er ny tabel, hvis feltet findes dér</t>
        </is>
      </c>
    </row>
    <row r="364">
      <c r="A364" s="12" t="inlineStr">
        <is>
          <t>Ringsted-Sorø Provsti</t>
        </is>
      </c>
      <c r="B364" s="12" t="inlineStr">
        <is>
          <t>Medlemsprocent</t>
        </is>
      </c>
      <c r="C364" s="13" t="n">
        <v>0.733</v>
      </c>
      <c r="D364" s="13" t="n">
        <v>0.7302516615637369</v>
      </c>
      <c r="E364" s="13" t="n">
        <v>-0.002748338436263098</v>
      </c>
      <c r="F364" s="12" t="inlineStr">
        <is>
          <t>Primær kilde i master er ny tabel, hvis feltet findes dér</t>
        </is>
      </c>
    </row>
    <row r="365">
      <c r="A365" s="12" t="inlineStr">
        <is>
          <t>Ringsted-Sorø Provsti</t>
        </is>
      </c>
      <c r="B365" s="12" t="inlineStr">
        <is>
          <t>Kirker</t>
        </is>
      </c>
      <c r="C365" s="13" t="n">
        <v>38</v>
      </c>
      <c r="D365" s="13" t="n">
        <v>39</v>
      </c>
      <c r="E365" s="13" t="n">
        <v>1</v>
      </c>
      <c r="F365" s="12" t="inlineStr">
        <is>
          <t>Primær kilde i master er ny tabel, hvis feltet findes dér</t>
        </is>
      </c>
    </row>
    <row r="366">
      <c r="A366" s="12" t="inlineStr">
        <is>
          <t>Ringsted-Sorø Provsti</t>
        </is>
      </c>
      <c r="B366" s="12" t="inlineStr">
        <is>
          <t>Lokal ligning t.kr.</t>
        </is>
      </c>
      <c r="C366" s="13" t="n">
        <v>91109</v>
      </c>
      <c r="D366" s="13" t="n">
        <v>91108.83303716037</v>
      </c>
      <c r="E366" s="13" t="n">
        <v>-0.1669628396339249</v>
      </c>
      <c r="F366" s="12" t="inlineStr">
        <is>
          <t>Primær kilde i master er ny tabel, hvis feltet findes dér</t>
        </is>
      </c>
    </row>
    <row r="367">
      <c r="A367" s="12" t="inlineStr">
        <is>
          <t>Ringsted-Sorø Provsti</t>
        </is>
      </c>
      <c r="B367" s="12" t="inlineStr">
        <is>
          <t>Maks. stiftsbidrag 1 % (t.kr.)</t>
        </is>
      </c>
      <c r="C367" s="13" t="n">
        <v>911</v>
      </c>
      <c r="D367" s="13" t="n">
        <v>911.0883303716038</v>
      </c>
      <c r="E367" s="13" t="n">
        <v>0.08833037160377444</v>
      </c>
      <c r="F367" s="12" t="inlineStr">
        <is>
          <t>Primær kilde i master er ny tabel, hvis feltet findes dér</t>
        </is>
      </c>
    </row>
    <row r="368">
      <c r="A368" s="12" t="inlineStr">
        <is>
          <t>Roskilde Domprovsti</t>
        </is>
      </c>
      <c r="B368" s="12" t="inlineStr">
        <is>
          <t>Indbyggertal</t>
        </is>
      </c>
      <c r="C368" s="13" t="n">
        <v>92697</v>
      </c>
      <c r="D368" s="13" t="n">
        <v>93065</v>
      </c>
      <c r="E368" s="13" t="n">
        <v>368</v>
      </c>
      <c r="F368" s="12" t="inlineStr">
        <is>
          <t>Primær kilde i master er ny tabel, hvis feltet findes dér</t>
        </is>
      </c>
    </row>
    <row r="369">
      <c r="A369" s="12" t="inlineStr">
        <is>
          <t>Roskilde Domprovsti</t>
        </is>
      </c>
      <c r="B369" s="12" t="inlineStr">
        <is>
          <t>Folkekirkemedlemmer</t>
        </is>
      </c>
      <c r="C369" s="13" t="n">
        <v>65606</v>
      </c>
      <c r="D369" s="13" t="n">
        <v>65635</v>
      </c>
      <c r="E369" s="13" t="n">
        <v>29</v>
      </c>
      <c r="F369" s="12" t="inlineStr">
        <is>
          <t>Primær kilde i master er ny tabel, hvis feltet findes dér</t>
        </is>
      </c>
    </row>
    <row r="370">
      <c r="A370" s="12" t="inlineStr">
        <is>
          <t>Roskilde Domprovsti</t>
        </is>
      </c>
      <c r="B370" s="12" t="inlineStr">
        <is>
          <t>Medlemsprocent</t>
        </is>
      </c>
      <c r="C370" s="13" t="n">
        <v>0.708</v>
      </c>
      <c r="D370" s="13" t="n">
        <v>0.7052597646805996</v>
      </c>
      <c r="E370" s="13" t="n">
        <v>-0.002740235319400375</v>
      </c>
      <c r="F370" s="12" t="inlineStr">
        <is>
          <t>Primær kilde i master er ny tabel, hvis feltet findes dér</t>
        </is>
      </c>
    </row>
    <row r="371">
      <c r="A371" s="12" t="inlineStr">
        <is>
          <t>Roskilde Domprovsti</t>
        </is>
      </c>
      <c r="B371" s="12" t="inlineStr">
        <is>
          <t>Kirker</t>
        </is>
      </c>
      <c r="C371" s="13" t="n">
        <v>25</v>
      </c>
      <c r="D371" s="13" t="n">
        <v>26</v>
      </c>
      <c r="E371" s="13" t="n">
        <v>1</v>
      </c>
      <c r="F371" s="12" t="inlineStr">
        <is>
          <t>Primær kilde i master er ny tabel, hvis feltet findes dér</t>
        </is>
      </c>
    </row>
    <row r="372">
      <c r="A372" s="12" t="inlineStr">
        <is>
          <t>Roskilde Domprovsti</t>
        </is>
      </c>
      <c r="B372" s="12" t="inlineStr">
        <is>
          <t>Lokal ligning t.kr.</t>
        </is>
      </c>
      <c r="C372" s="13" t="n">
        <v>119774</v>
      </c>
      <c r="D372" s="13" t="n">
        <v>119774.1885720844</v>
      </c>
      <c r="E372" s="13" t="n">
        <v>0.1885720844002208</v>
      </c>
      <c r="F372" s="12" t="inlineStr">
        <is>
          <t>Primær kilde i master er ny tabel, hvis feltet findes dér</t>
        </is>
      </c>
    </row>
    <row r="373">
      <c r="A373" s="12" t="inlineStr">
        <is>
          <t>Roskilde Domprovsti</t>
        </is>
      </c>
      <c r="B373" s="12" t="inlineStr">
        <is>
          <t>Maks. stiftsbidrag 1 % (t.kr.)</t>
        </is>
      </c>
      <c r="C373" s="13" t="n">
        <v>1198</v>
      </c>
      <c r="D373" s="13" t="n">
        <v>1197.741885720844</v>
      </c>
      <c r="E373" s="13" t="n">
        <v>-0.2581142791561888</v>
      </c>
      <c r="F373" s="12" t="inlineStr">
        <is>
          <t>Primær kilde i master er ny tabel, hvis feltet findes dér</t>
        </is>
      </c>
    </row>
    <row r="374">
      <c r="A374" s="12" t="inlineStr">
        <is>
          <t>Slagelse Provsti</t>
        </is>
      </c>
      <c r="B374" s="12" t="inlineStr">
        <is>
          <t>Indbyggertal</t>
        </is>
      </c>
      <c r="C374" s="13" t="n">
        <v>80959</v>
      </c>
      <c r="D374" s="13" t="n">
        <v>80833</v>
      </c>
      <c r="E374" s="13" t="n">
        <v>-126</v>
      </c>
      <c r="F374" s="12" t="inlineStr">
        <is>
          <t>Primær kilde i master er ny tabel, hvis feltet findes dér</t>
        </is>
      </c>
    </row>
    <row r="375">
      <c r="A375" s="12" t="inlineStr">
        <is>
          <t>Slagelse Provsti</t>
        </is>
      </c>
      <c r="B375" s="12" t="inlineStr">
        <is>
          <t>Folkekirkemedlemmer</t>
        </is>
      </c>
      <c r="C375" s="13" t="n">
        <v>60528</v>
      </c>
      <c r="D375" s="13" t="n">
        <v>60360</v>
      </c>
      <c r="E375" s="13" t="n">
        <v>-168</v>
      </c>
      <c r="F375" s="12" t="inlineStr">
        <is>
          <t>Primær kilde i master er ny tabel, hvis feltet findes dér</t>
        </is>
      </c>
    </row>
    <row r="376">
      <c r="A376" s="12" t="inlineStr">
        <is>
          <t>Slagelse Provsti</t>
        </is>
      </c>
      <c r="B376" s="12" t="inlineStr">
        <is>
          <t>Medlemsprocent</t>
        </is>
      </c>
      <c r="C376" s="13" t="n">
        <v>0.748</v>
      </c>
      <c r="D376" s="13" t="n">
        <v>0.7467247287617681</v>
      </c>
      <c r="E376" s="13" t="n">
        <v>-0.001275271238231901</v>
      </c>
      <c r="F376" s="12" t="inlineStr">
        <is>
          <t>Primær kilde i master er ny tabel, hvis feltet findes dér</t>
        </is>
      </c>
    </row>
    <row r="377">
      <c r="A377" s="12" t="inlineStr">
        <is>
          <t>Slagelse Provsti</t>
        </is>
      </c>
      <c r="B377" s="12" t="inlineStr">
        <is>
          <t>Kirker</t>
        </is>
      </c>
      <c r="C377" s="13" t="n">
        <v>46</v>
      </c>
      <c r="D377" s="13" t="n">
        <v>48</v>
      </c>
      <c r="E377" s="13" t="n">
        <v>2</v>
      </c>
      <c r="F377" s="12" t="inlineStr">
        <is>
          <t>Primær kilde i master er ny tabel, hvis feltet findes dér</t>
        </is>
      </c>
    </row>
    <row r="378">
      <c r="A378" s="12" t="inlineStr">
        <is>
          <t>Slagelse Provsti</t>
        </is>
      </c>
      <c r="B378" s="12" t="inlineStr">
        <is>
          <t>Lokal ligning t.kr.</t>
        </is>
      </c>
      <c r="C378" s="13" t="n">
        <v>107107</v>
      </c>
      <c r="D378" s="13" t="n">
        <v>107107.0540682421</v>
      </c>
      <c r="E378" s="13" t="n">
        <v>0.05406824211240746</v>
      </c>
      <c r="F378" s="12" t="inlineStr">
        <is>
          <t>Primær kilde i master er ny tabel, hvis feltet findes dér</t>
        </is>
      </c>
    </row>
    <row r="379">
      <c r="A379" s="12" t="inlineStr">
        <is>
          <t>Slagelse Provsti</t>
        </is>
      </c>
      <c r="B379" s="12" t="inlineStr">
        <is>
          <t>Maks. stiftsbidrag 1 % (t.kr.)</t>
        </is>
      </c>
      <c r="C379" s="13" t="n">
        <v>1071</v>
      </c>
      <c r="D379" s="13" t="n">
        <v>1071.070540682421</v>
      </c>
      <c r="E379" s="13" t="n">
        <v>0.07054068242132416</v>
      </c>
      <c r="F379" s="12" t="inlineStr">
        <is>
          <t>Primær kilde i master er ny tabel, hvis feltet findes dér</t>
        </is>
      </c>
    </row>
    <row r="380">
      <c r="A380" s="12" t="inlineStr">
        <is>
          <t>Stege-Vordingborg Provsti</t>
        </is>
      </c>
      <c r="B380" s="12" t="inlineStr">
        <is>
          <t>Indbyggertal</t>
        </is>
      </c>
      <c r="C380" s="13" t="n">
        <v>44831</v>
      </c>
      <c r="D380" s="13" t="n">
        <v>44815</v>
      </c>
      <c r="E380" s="13" t="n">
        <v>-16</v>
      </c>
      <c r="F380" s="12" t="inlineStr">
        <is>
          <t>Primær kilde i master er ny tabel, hvis feltet findes dér</t>
        </is>
      </c>
    </row>
    <row r="381">
      <c r="A381" s="12" t="inlineStr">
        <is>
          <t>Stege-Vordingborg Provsti</t>
        </is>
      </c>
      <c r="B381" s="12" t="inlineStr">
        <is>
          <t>Folkekirkemedlemmer</t>
        </is>
      </c>
      <c r="C381" s="13" t="n">
        <v>34101</v>
      </c>
      <c r="D381" s="13" t="n">
        <v>34096</v>
      </c>
      <c r="E381" s="13" t="n">
        <v>-5</v>
      </c>
      <c r="F381" s="12" t="inlineStr">
        <is>
          <t>Primær kilde i master er ny tabel, hvis feltet findes dér</t>
        </is>
      </c>
    </row>
    <row r="382">
      <c r="A382" s="12" t="inlineStr">
        <is>
          <t>Stege-Vordingborg Provsti</t>
        </is>
      </c>
      <c r="B382" s="12" t="inlineStr">
        <is>
          <t>Medlemsprocent</t>
        </is>
      </c>
      <c r="C382" s="13" t="n">
        <v>0.7609999999999999</v>
      </c>
      <c r="D382" s="13" t="n">
        <v>0.7608166908401205</v>
      </c>
      <c r="E382" s="13" t="n">
        <v>-0.0001833091598794079</v>
      </c>
      <c r="F382" s="12" t="inlineStr">
        <is>
          <t>Primær kilde i master er ny tabel, hvis feltet findes dér</t>
        </is>
      </c>
    </row>
    <row r="383">
      <c r="A383" s="12" t="inlineStr">
        <is>
          <t>Stege-Vordingborg Provsti</t>
        </is>
      </c>
      <c r="B383" s="12" t="inlineStr">
        <is>
          <t>Lokal ligning t.kr.</t>
        </is>
      </c>
      <c r="C383" s="13" t="n">
        <v>65378</v>
      </c>
      <c r="D383" s="13" t="n">
        <v>65378.08348281285</v>
      </c>
      <c r="E383" s="13" t="n">
        <v>0.08348281284997938</v>
      </c>
      <c r="F383" s="12" t="inlineStr">
        <is>
          <t>Primær kilde i master er ny tabel, hvis feltet findes dér</t>
        </is>
      </c>
    </row>
    <row r="384">
      <c r="A384" s="12" t="inlineStr">
        <is>
          <t>Stege-Vordingborg Provsti</t>
        </is>
      </c>
      <c r="B384" s="12" t="inlineStr">
        <is>
          <t>Maks. stiftsbidrag 1 % (t.kr.)</t>
        </is>
      </c>
      <c r="C384" s="13" t="n">
        <v>654</v>
      </c>
      <c r="D384" s="13" t="n">
        <v>653.7808348281286</v>
      </c>
      <c r="E384" s="13" t="n">
        <v>-0.2191651718713956</v>
      </c>
      <c r="F384" s="12" t="inlineStr">
        <is>
          <t>Primær kilde i master er ny tabel, hvis feltet findes dér</t>
        </is>
      </c>
    </row>
    <row r="385">
      <c r="A385" s="12" t="inlineStr">
        <is>
          <t>Tryggevælde Provsti</t>
        </is>
      </c>
      <c r="B385" s="12" t="inlineStr">
        <is>
          <t>Indbyggertal</t>
        </is>
      </c>
      <c r="C385" s="13" t="n">
        <v>61959</v>
      </c>
      <c r="D385" s="13" t="n">
        <v>62039</v>
      </c>
      <c r="E385" s="13" t="n">
        <v>80</v>
      </c>
      <c r="F385" s="12" t="inlineStr">
        <is>
          <t>Primær kilde i master er ny tabel, hvis feltet findes dér</t>
        </is>
      </c>
    </row>
    <row r="386">
      <c r="A386" s="12" t="inlineStr">
        <is>
          <t>Tryggevælde Provsti</t>
        </is>
      </c>
      <c r="B386" s="12" t="inlineStr">
        <is>
          <t>Folkekirkemedlemmer</t>
        </is>
      </c>
      <c r="C386" s="13" t="n">
        <v>47080</v>
      </c>
      <c r="D386" s="13" t="n">
        <v>47101</v>
      </c>
      <c r="E386" s="13" t="n">
        <v>21</v>
      </c>
      <c r="F386" s="12" t="inlineStr">
        <is>
          <t>Primær kilde i master er ny tabel, hvis feltet findes dér</t>
        </is>
      </c>
    </row>
    <row r="387">
      <c r="A387" s="12" t="inlineStr">
        <is>
          <t>Tryggevælde Provsti</t>
        </is>
      </c>
      <c r="B387" s="12" t="inlineStr">
        <is>
          <t>Medlemsprocent</t>
        </is>
      </c>
      <c r="C387" s="13" t="n">
        <v>0.76</v>
      </c>
      <c r="D387" s="13" t="n">
        <v>0.7592159770466964</v>
      </c>
      <c r="E387" s="13" t="n">
        <v>-0.0007840229533035981</v>
      </c>
      <c r="F387" s="12" t="inlineStr">
        <is>
          <t>Primær kilde i master er ny tabel, hvis feltet findes dér</t>
        </is>
      </c>
    </row>
    <row r="388">
      <c r="A388" s="12" t="inlineStr">
        <is>
          <t>Tryggevælde Provsti</t>
        </is>
      </c>
      <c r="B388" s="12" t="inlineStr">
        <is>
          <t>Kirker</t>
        </is>
      </c>
      <c r="C388" s="13" t="n">
        <v>38</v>
      </c>
      <c r="D388" s="13" t="n">
        <v>40</v>
      </c>
      <c r="E388" s="13" t="n">
        <v>2</v>
      </c>
      <c r="F388" s="12" t="inlineStr">
        <is>
          <t>Primær kilde i master er ny tabel, hvis feltet findes dér</t>
        </is>
      </c>
    </row>
    <row r="389">
      <c r="A389" s="12" t="inlineStr">
        <is>
          <t>Tryggevælde Provsti</t>
        </is>
      </c>
      <c r="B389" s="12" t="inlineStr">
        <is>
          <t>Maks. stiftsbidrag 1 % (t.kr.)</t>
        </is>
      </c>
      <c r="C389" s="13" t="n">
        <v>987</v>
      </c>
      <c r="D389" s="13" t="n">
        <v>986.9500511218688</v>
      </c>
      <c r="E389" s="13" t="n">
        <v>-0.04994887813120386</v>
      </c>
      <c r="F389" s="12" t="inlineStr">
        <is>
          <t>Primær kilde i master er ny tabel, hvis feltet findes dér</t>
        </is>
      </c>
    </row>
    <row r="390">
      <c r="A390" s="12" t="inlineStr">
        <is>
          <t>Herning Nordre Provsti</t>
        </is>
      </c>
      <c r="B390" s="12" t="inlineStr">
        <is>
          <t>Indbyggertal</t>
        </is>
      </c>
      <c r="C390" s="13" t="n">
        <v>37802</v>
      </c>
      <c r="D390" s="13" t="n">
        <v>37816</v>
      </c>
      <c r="E390" s="13" t="n">
        <v>14</v>
      </c>
      <c r="F390" s="12" t="inlineStr">
        <is>
          <t>Primær kilde i master er ny tabel, hvis feltet findes dér</t>
        </is>
      </c>
    </row>
    <row r="391">
      <c r="A391" s="12" t="inlineStr">
        <is>
          <t>Herning Nordre Provsti</t>
        </is>
      </c>
      <c r="B391" s="12" t="inlineStr">
        <is>
          <t>Folkekirkemedlemmer</t>
        </is>
      </c>
      <c r="C391" s="13" t="n">
        <v>31346</v>
      </c>
      <c r="D391" s="13" t="n">
        <v>31342</v>
      </c>
      <c r="E391" s="13" t="n">
        <v>-4</v>
      </c>
      <c r="F391" s="12" t="inlineStr">
        <is>
          <t>Primær kilde i master er ny tabel, hvis feltet findes dér</t>
        </is>
      </c>
    </row>
    <row r="392">
      <c r="A392" s="12" t="inlineStr">
        <is>
          <t>Herning Nordre Provsti</t>
        </is>
      </c>
      <c r="B392" s="12" t="inlineStr">
        <is>
          <t>Medlemsprocent</t>
        </is>
      </c>
      <c r="C392" s="13" t="n">
        <v>0.8290000000000001</v>
      </c>
      <c r="D392" s="13" t="n">
        <v>0.8288026232282631</v>
      </c>
      <c r="E392" s="13" t="n">
        <v>-0.0001973767717369235</v>
      </c>
      <c r="F392" s="12" t="inlineStr">
        <is>
          <t>Primær kilde i master er ny tabel, hvis feltet findes dér</t>
        </is>
      </c>
    </row>
    <row r="393">
      <c r="A393" s="12" t="inlineStr">
        <is>
          <t>Herning Nordre Provsti</t>
        </is>
      </c>
      <c r="B393" s="12" t="inlineStr">
        <is>
          <t>Kirker</t>
        </is>
      </c>
      <c r="C393" s="13" t="n"/>
      <c r="D393" s="13" t="n">
        <v>25</v>
      </c>
      <c r="E393" s="13" t="n"/>
      <c r="F393" s="12" t="inlineStr">
        <is>
          <t>Mangler i en af kilderne</t>
        </is>
      </c>
    </row>
    <row r="394">
      <c r="A394" s="12" t="inlineStr">
        <is>
          <t>Herning Nordre Provsti</t>
        </is>
      </c>
      <c r="B394" s="12" t="inlineStr">
        <is>
          <t>Lokal ligning t.kr.</t>
        </is>
      </c>
      <c r="C394" s="13" t="n"/>
      <c r="D394" s="13" t="n">
        <v>128757.9437897055</v>
      </c>
      <c r="E394" s="13" t="n"/>
      <c r="F394" s="12" t="inlineStr">
        <is>
          <t>Mangler i en af kilderne</t>
        </is>
      </c>
    </row>
    <row r="395">
      <c r="A395" s="12" t="inlineStr">
        <is>
          <t>Herning Nordre Provsti</t>
        </is>
      </c>
      <c r="B395" s="12" t="inlineStr">
        <is>
          <t>Maks. stiftsbidrag 1 % (t.kr.)</t>
        </is>
      </c>
      <c r="C395" s="13" t="n"/>
      <c r="D395" s="13" t="n">
        <v>1287.579437897055</v>
      </c>
      <c r="E395" s="13" t="n"/>
      <c r="F395" s="12" t="inlineStr">
        <is>
          <t>Mangler i en af kilderne</t>
        </is>
      </c>
    </row>
    <row r="396">
      <c r="A396" s="12" t="inlineStr">
        <is>
          <t>Herning Søndre Provsti</t>
        </is>
      </c>
      <c r="B396" s="12" t="inlineStr">
        <is>
          <t>Indbyggertal</t>
        </is>
      </c>
      <c r="C396" s="13" t="n">
        <v>52937</v>
      </c>
      <c r="D396" s="13" t="n">
        <v>53039</v>
      </c>
      <c r="E396" s="13" t="n">
        <v>102</v>
      </c>
      <c r="F396" s="12" t="inlineStr">
        <is>
          <t>Primær kilde i master er ny tabel, hvis feltet findes dér</t>
        </is>
      </c>
    </row>
    <row r="397">
      <c r="A397" s="12" t="inlineStr">
        <is>
          <t>Herning Søndre Provsti</t>
        </is>
      </c>
      <c r="B397" s="12" t="inlineStr">
        <is>
          <t>Medlemsprocent</t>
        </is>
      </c>
      <c r="C397" s="13" t="n">
        <v>0.752</v>
      </c>
      <c r="D397" s="13" t="n">
        <v>0.7505043458587077</v>
      </c>
      <c r="E397" s="13" t="n">
        <v>-0.001495654141292269</v>
      </c>
      <c r="F397" s="12" t="inlineStr">
        <is>
          <t>Primær kilde i master er ny tabel, hvis feltet findes dér</t>
        </is>
      </c>
    </row>
    <row r="398">
      <c r="A398" s="12" t="inlineStr">
        <is>
          <t>Herning Søndre Provsti</t>
        </is>
      </c>
      <c r="B398" s="12" t="inlineStr">
        <is>
          <t>Kirker</t>
        </is>
      </c>
      <c r="C398" s="13" t="n"/>
      <c r="D398" s="13" t="n">
        <v>21</v>
      </c>
      <c r="E398" s="13" t="n"/>
      <c r="F398" s="12" t="inlineStr">
        <is>
          <t>Mangler i en af kilderne</t>
        </is>
      </c>
    </row>
    <row r="399">
      <c r="A399" s="12" t="inlineStr">
        <is>
          <t>Herning Søndre Provsti</t>
        </is>
      </c>
      <c r="B399" s="12" t="inlineStr">
        <is>
          <t>Maks. stiftsbidrag 1 % (t.kr.)</t>
        </is>
      </c>
      <c r="C399" s="13" t="n"/>
      <c r="D399" s="13" t="n">
        <v>0</v>
      </c>
      <c r="E399" s="13" t="n"/>
      <c r="F399" s="12" t="inlineStr">
        <is>
          <t>Mangler i en af kilderne</t>
        </is>
      </c>
    </row>
    <row r="400">
      <c r="A400" s="12" t="inlineStr">
        <is>
          <t>Holstebro Provsti</t>
        </is>
      </c>
      <c r="B400" s="12" t="inlineStr">
        <is>
          <t>Indbyggertal</t>
        </is>
      </c>
      <c r="C400" s="13" t="n">
        <v>53310</v>
      </c>
      <c r="D400" s="13" t="n">
        <v>53383</v>
      </c>
      <c r="E400" s="13" t="n">
        <v>73</v>
      </c>
      <c r="F400" s="12" t="inlineStr">
        <is>
          <t>Primær kilde i master er ny tabel, hvis feltet findes dér</t>
        </is>
      </c>
    </row>
    <row r="401">
      <c r="A401" s="12" t="inlineStr">
        <is>
          <t>Holstebro Provsti</t>
        </is>
      </c>
      <c r="B401" s="12" t="inlineStr">
        <is>
          <t>Folkekirkemedlemmer</t>
        </is>
      </c>
      <c r="C401" s="13" t="n">
        <v>43669</v>
      </c>
      <c r="D401" s="13" t="n">
        <v>43624</v>
      </c>
      <c r="E401" s="13" t="n">
        <v>-45</v>
      </c>
      <c r="F401" s="12" t="inlineStr">
        <is>
          <t>Primær kilde i master er ny tabel, hvis feltet findes dér</t>
        </is>
      </c>
    </row>
    <row r="402">
      <c r="A402" s="12" t="inlineStr">
        <is>
          <t>Holstebro Provsti</t>
        </is>
      </c>
      <c r="B402" s="12" t="inlineStr">
        <is>
          <t>Medlemsprocent</t>
        </is>
      </c>
      <c r="C402" s="13" t="n">
        <v>0.8190000000000001</v>
      </c>
      <c r="D402" s="13" t="n">
        <v>0.8171889927505011</v>
      </c>
      <c r="E402" s="13" t="n">
        <v>-0.001811007249499008</v>
      </c>
      <c r="F402" s="12" t="inlineStr">
        <is>
          <t>Primær kilde i master er ny tabel, hvis feltet findes dér</t>
        </is>
      </c>
    </row>
    <row r="403">
      <c r="A403" s="12" t="inlineStr">
        <is>
          <t>Holstebro Provsti</t>
        </is>
      </c>
      <c r="B403" s="12" t="inlineStr">
        <is>
          <t>Kirker</t>
        </is>
      </c>
      <c r="C403" s="13" t="n"/>
      <c r="D403" s="13" t="n">
        <v>26</v>
      </c>
      <c r="E403" s="13" t="n"/>
      <c r="F403" s="12" t="inlineStr">
        <is>
          <t>Mangler i en af kilderne</t>
        </is>
      </c>
    </row>
    <row r="404">
      <c r="A404" s="12" t="inlineStr">
        <is>
          <t>Holstebro Provsti</t>
        </is>
      </c>
      <c r="B404" s="12" t="inlineStr">
        <is>
          <t>Lokal ligning t.kr.</t>
        </is>
      </c>
      <c r="C404" s="13" t="n"/>
      <c r="D404" s="13" t="n">
        <v>94725.52402876192</v>
      </c>
      <c r="E404" s="13" t="n"/>
      <c r="F404" s="12" t="inlineStr">
        <is>
          <t>Mangler i en af kilderne</t>
        </is>
      </c>
    </row>
    <row r="405">
      <c r="A405" s="12" t="inlineStr">
        <is>
          <t>Holstebro Provsti</t>
        </is>
      </c>
      <c r="B405" s="12" t="inlineStr">
        <is>
          <t>Maks. stiftsbidrag 1 % (t.kr.)</t>
        </is>
      </c>
      <c r="C405" s="13" t="n"/>
      <c r="D405" s="13" t="n">
        <v>947.2552402876192</v>
      </c>
      <c r="E405" s="13" t="n"/>
      <c r="F405" s="12" t="inlineStr">
        <is>
          <t>Mangler i en af kilderne</t>
        </is>
      </c>
    </row>
    <row r="406">
      <c r="A406" s="12" t="inlineStr">
        <is>
          <t>Ikast-Brande Provsti</t>
        </is>
      </c>
      <c r="B406" s="12" t="inlineStr">
        <is>
          <t>Indbyggertal</t>
        </is>
      </c>
      <c r="C406" s="13" t="n">
        <v>56472</v>
      </c>
      <c r="D406" s="13" t="n">
        <v>56523</v>
      </c>
      <c r="E406" s="13" t="n">
        <v>51</v>
      </c>
      <c r="F406" s="12" t="inlineStr">
        <is>
          <t>Primær kilde i master er ny tabel, hvis feltet findes dér</t>
        </is>
      </c>
    </row>
    <row r="407">
      <c r="A407" s="12" t="inlineStr">
        <is>
          <t>Ikast-Brande Provsti</t>
        </is>
      </c>
      <c r="B407" s="12" t="inlineStr">
        <is>
          <t>Folkekirkemedlemmer</t>
        </is>
      </c>
      <c r="C407" s="13" t="n">
        <v>43773</v>
      </c>
      <c r="D407" s="13" t="n">
        <v>43747</v>
      </c>
      <c r="E407" s="13" t="n">
        <v>-26</v>
      </c>
      <c r="F407" s="12" t="inlineStr">
        <is>
          <t>Primær kilde i master er ny tabel, hvis feltet findes dér</t>
        </is>
      </c>
    </row>
    <row r="408">
      <c r="A408" s="12" t="inlineStr">
        <is>
          <t>Ikast-Brande Provsti</t>
        </is>
      </c>
      <c r="B408" s="12" t="inlineStr">
        <is>
          <t>Medlemsprocent</t>
        </is>
      </c>
      <c r="C408" s="13" t="n">
        <v>0.775</v>
      </c>
      <c r="D408" s="13" t="n">
        <v>0.7739681191727261</v>
      </c>
      <c r="E408" s="13" t="n">
        <v>-0.001031880827273901</v>
      </c>
      <c r="F408" s="12" t="inlineStr">
        <is>
          <t>Primær kilde i master er ny tabel, hvis feltet findes dér</t>
        </is>
      </c>
    </row>
    <row r="409">
      <c r="A409" s="12" t="inlineStr">
        <is>
          <t>Ikast-Brande Provsti</t>
        </is>
      </c>
      <c r="B409" s="12" t="inlineStr">
        <is>
          <t>Kirker</t>
        </is>
      </c>
      <c r="C409" s="13" t="n"/>
      <c r="D409" s="13" t="n">
        <v>28</v>
      </c>
      <c r="E409" s="13" t="n"/>
      <c r="F409" s="12" t="inlineStr">
        <is>
          <t>Mangler i en af kilderne</t>
        </is>
      </c>
    </row>
    <row r="410">
      <c r="A410" s="12" t="inlineStr">
        <is>
          <t>Ikast-Brande Provsti</t>
        </is>
      </c>
      <c r="B410" s="12" t="inlineStr">
        <is>
          <t>Lokal ligning t.kr.</t>
        </is>
      </c>
      <c r="C410" s="13" t="n"/>
      <c r="D410" s="13" t="n">
        <v>56768.68112119452</v>
      </c>
      <c r="E410" s="13" t="n"/>
      <c r="F410" s="12" t="inlineStr">
        <is>
          <t>Mangler i en af kilderne</t>
        </is>
      </c>
    </row>
    <row r="411">
      <c r="A411" s="12" t="inlineStr">
        <is>
          <t>Ikast-Brande Provsti</t>
        </is>
      </c>
      <c r="B411" s="12" t="inlineStr">
        <is>
          <t>Maks. stiftsbidrag 1 % (t.kr.)</t>
        </is>
      </c>
      <c r="C411" s="13" t="n"/>
      <c r="D411" s="13" t="n">
        <v>567.6868112119453</v>
      </c>
      <c r="E411" s="13" t="n"/>
      <c r="F411" s="12" t="inlineStr">
        <is>
          <t>Mangler i en af kilderne</t>
        </is>
      </c>
    </row>
    <row r="412">
      <c r="A412" s="12" t="inlineStr">
        <is>
          <t>Lemvig Provsti</t>
        </is>
      </c>
      <c r="B412" s="12" t="inlineStr">
        <is>
          <t>Indbyggertal</t>
        </is>
      </c>
      <c r="C412" s="13" t="n">
        <v>18596</v>
      </c>
      <c r="D412" s="13" t="n">
        <v>18526</v>
      </c>
      <c r="E412" s="13" t="n">
        <v>-70</v>
      </c>
      <c r="F412" s="12" t="inlineStr">
        <is>
          <t>Primær kilde i master er ny tabel, hvis feltet findes dér</t>
        </is>
      </c>
    </row>
    <row r="413">
      <c r="A413" s="12" t="inlineStr">
        <is>
          <t>Lemvig Provsti</t>
        </is>
      </c>
      <c r="B413" s="12" t="inlineStr">
        <is>
          <t>Folkekirkemedlemmer</t>
        </is>
      </c>
      <c r="C413" s="13" t="n">
        <v>15563</v>
      </c>
      <c r="D413" s="13" t="n">
        <v>15498</v>
      </c>
      <c r="E413" s="13" t="n">
        <v>-65</v>
      </c>
      <c r="F413" s="12" t="inlineStr">
        <is>
          <t>Primær kilde i master er ny tabel, hvis feltet findes dér</t>
        </is>
      </c>
    </row>
    <row r="414">
      <c r="A414" s="12" t="inlineStr">
        <is>
          <t>Lemvig Provsti</t>
        </is>
      </c>
      <c r="B414" s="12" t="inlineStr">
        <is>
          <t>Medlemsprocent</t>
        </is>
      </c>
      <c r="C414" s="13" t="n">
        <v>0.8370000000000001</v>
      </c>
      <c r="D414" s="13" t="n">
        <v>0.8365540321710029</v>
      </c>
      <c r="E414" s="13" t="n">
        <v>-0.0004459678289971958</v>
      </c>
      <c r="F414" s="12" t="inlineStr">
        <is>
          <t>Primær kilde i master er ny tabel, hvis feltet findes dér</t>
        </is>
      </c>
    </row>
    <row r="415">
      <c r="A415" s="12" t="inlineStr">
        <is>
          <t>Lemvig Provsti</t>
        </is>
      </c>
      <c r="B415" s="12" t="inlineStr">
        <is>
          <t>Kirker</t>
        </is>
      </c>
      <c r="C415" s="13" t="n"/>
      <c r="D415" s="13" t="n">
        <v>31</v>
      </c>
      <c r="E415" s="13" t="n"/>
      <c r="F415" s="12" t="inlineStr">
        <is>
          <t>Mangler i en af kilderne</t>
        </is>
      </c>
    </row>
    <row r="416">
      <c r="A416" s="12" t="inlineStr">
        <is>
          <t>Lemvig Provsti</t>
        </is>
      </c>
      <c r="B416" s="12" t="inlineStr">
        <is>
          <t>Lokal ligning t.kr.</t>
        </is>
      </c>
      <c r="C416" s="13" t="n"/>
      <c r="D416" s="13" t="n">
        <v>40154.23283904534</v>
      </c>
      <c r="E416" s="13" t="n"/>
      <c r="F416" s="12" t="inlineStr">
        <is>
          <t>Mangler i en af kilderne</t>
        </is>
      </c>
    </row>
    <row r="417">
      <c r="A417" s="12" t="inlineStr">
        <is>
          <t>Lemvig Provsti</t>
        </is>
      </c>
      <c r="B417" s="12" t="inlineStr">
        <is>
          <t>Maks. stiftsbidrag 1 % (t.kr.)</t>
        </is>
      </c>
      <c r="C417" s="13" t="n"/>
      <c r="D417" s="13" t="n">
        <v>401.5423283904534</v>
      </c>
      <c r="E417" s="13" t="n"/>
      <c r="F417" s="12" t="inlineStr">
        <is>
          <t>Mangler i en af kilderne</t>
        </is>
      </c>
    </row>
    <row r="418">
      <c r="A418" s="12" t="inlineStr">
        <is>
          <t>Salling Provsti</t>
        </is>
      </c>
      <c r="B418" s="12" t="inlineStr">
        <is>
          <t>Indbyggertal</t>
        </is>
      </c>
      <c r="C418" s="13" t="n">
        <v>17011</v>
      </c>
      <c r="D418" s="13" t="n">
        <v>16942</v>
      </c>
      <c r="E418" s="13" t="n">
        <v>-69</v>
      </c>
      <c r="F418" s="12" t="inlineStr">
        <is>
          <t>Primær kilde i master er ny tabel, hvis feltet findes dér</t>
        </is>
      </c>
    </row>
    <row r="419">
      <c r="A419" s="12" t="inlineStr">
        <is>
          <t>Salling Provsti</t>
        </is>
      </c>
      <c r="B419" s="12" t="inlineStr">
        <is>
          <t>Folkekirkemedlemmer</t>
        </is>
      </c>
      <c r="C419" s="13" t="n">
        <v>14325</v>
      </c>
      <c r="D419" s="13" t="n">
        <v>14255</v>
      </c>
      <c r="E419" s="13" t="n">
        <v>-70</v>
      </c>
      <c r="F419" s="12" t="inlineStr">
        <is>
          <t>Primær kilde i master er ny tabel, hvis feltet findes dér</t>
        </is>
      </c>
    </row>
    <row r="420">
      <c r="A420" s="12" t="inlineStr">
        <is>
          <t>Salling Provsti</t>
        </is>
      </c>
      <c r="B420" s="12" t="inlineStr">
        <is>
          <t>Medlemsprocent</t>
        </is>
      </c>
      <c r="C420" s="13" t="n">
        <v>0.8420000000000001</v>
      </c>
      <c r="D420" s="13" t="n">
        <v>0.8414000708298902</v>
      </c>
      <c r="E420" s="13" t="n">
        <v>-0.0005999291701098697</v>
      </c>
      <c r="F420" s="12" t="inlineStr">
        <is>
          <t>Primær kilde i master er ny tabel, hvis feltet findes dér</t>
        </is>
      </c>
    </row>
    <row r="421">
      <c r="A421" s="12" t="inlineStr">
        <is>
          <t>Salling Provsti</t>
        </is>
      </c>
      <c r="B421" s="12" t="inlineStr">
        <is>
          <t>Kirker</t>
        </is>
      </c>
      <c r="C421" s="13" t="n"/>
      <c r="D421" s="13" t="n">
        <v>33</v>
      </c>
      <c r="E421" s="13" t="n"/>
      <c r="F421" s="12" t="inlineStr">
        <is>
          <t>Mangler i en af kilderne</t>
        </is>
      </c>
    </row>
    <row r="422">
      <c r="A422" s="12" t="inlineStr">
        <is>
          <t>Salling Provsti</t>
        </is>
      </c>
      <c r="B422" s="12" t="inlineStr">
        <is>
          <t>Lokal ligning t.kr.</t>
        </is>
      </c>
      <c r="C422" s="13" t="n"/>
      <c r="D422" s="13" t="n">
        <v>76925.32118104551</v>
      </c>
      <c r="E422" s="13" t="n"/>
      <c r="F422" s="12" t="inlineStr">
        <is>
          <t>Mangler i en af kilderne</t>
        </is>
      </c>
    </row>
    <row r="423">
      <c r="A423" s="12" t="inlineStr">
        <is>
          <t>Salling Provsti</t>
        </is>
      </c>
      <c r="B423" s="12" t="inlineStr">
        <is>
          <t>Maks. stiftsbidrag 1 % (t.kr.)</t>
        </is>
      </c>
      <c r="C423" s="13" t="n"/>
      <c r="D423" s="13" t="n">
        <v>769.2532118104552</v>
      </c>
      <c r="E423" s="13" t="n"/>
      <c r="F423" s="12" t="inlineStr">
        <is>
          <t>Mangler i en af kilderne</t>
        </is>
      </c>
    </row>
    <row r="424">
      <c r="A424" s="12" t="inlineStr">
        <is>
          <t>Skive Provsti</t>
        </is>
      </c>
      <c r="B424" s="12" t="inlineStr">
        <is>
          <t>Indbyggertal</t>
        </is>
      </c>
      <c r="C424" s="13" t="n">
        <v>27360</v>
      </c>
      <c r="D424" s="13" t="n">
        <v>27344</v>
      </c>
      <c r="E424" s="13" t="n">
        <v>-16</v>
      </c>
      <c r="F424" s="12" t="inlineStr">
        <is>
          <t>Primær kilde i master er ny tabel, hvis feltet findes dér</t>
        </is>
      </c>
    </row>
    <row r="425">
      <c r="A425" s="12" t="inlineStr">
        <is>
          <t>Skive Provsti</t>
        </is>
      </c>
      <c r="B425" s="12" t="inlineStr">
        <is>
          <t>Folkekirkemedlemmer</t>
        </is>
      </c>
      <c r="C425" s="13" t="n">
        <v>22776</v>
      </c>
      <c r="D425" s="13" t="n">
        <v>22758</v>
      </c>
      <c r="E425" s="13" t="n">
        <v>-18</v>
      </c>
      <c r="F425" s="12" t="inlineStr">
        <is>
          <t>Primær kilde i master er ny tabel, hvis feltet findes dér</t>
        </is>
      </c>
    </row>
    <row r="426">
      <c r="A426" s="12" t="inlineStr">
        <is>
          <t>Skive Provsti</t>
        </is>
      </c>
      <c r="B426" s="12" t="inlineStr">
        <is>
          <t>Medlemsprocent</t>
        </is>
      </c>
      <c r="C426" s="13" t="n">
        <v>0.8320000000000001</v>
      </c>
      <c r="D426" s="13" t="n">
        <v>0.8322849619660621</v>
      </c>
      <c r="E426" s="13" t="n">
        <v>0.0002849619660619807</v>
      </c>
      <c r="F426" s="12" t="inlineStr">
        <is>
          <t>Primær kilde i master er ny tabel, hvis feltet findes dér</t>
        </is>
      </c>
    </row>
    <row r="427">
      <c r="A427" s="12" t="inlineStr">
        <is>
          <t>Skive Provsti</t>
        </is>
      </c>
      <c r="B427" s="12" t="inlineStr">
        <is>
          <t>Kirker</t>
        </is>
      </c>
      <c r="C427" s="13" t="n"/>
      <c r="D427" s="13" t="n">
        <v>16</v>
      </c>
      <c r="E427" s="13" t="n"/>
      <c r="F427" s="12" t="inlineStr">
        <is>
          <t>Mangler i en af kilderne</t>
        </is>
      </c>
    </row>
    <row r="428">
      <c r="A428" s="12" t="inlineStr">
        <is>
          <t>Skive Provsti</t>
        </is>
      </c>
      <c r="B428" s="12" t="inlineStr">
        <is>
          <t>Maks. stiftsbidrag 1 % (t.kr.)</t>
        </is>
      </c>
      <c r="C428" s="13" t="n"/>
      <c r="D428" s="13" t="n">
        <v>0</v>
      </c>
      <c r="E428" s="13" t="n"/>
      <c r="F428" s="12" t="inlineStr">
        <is>
          <t>Mangler i en af kilderne</t>
        </is>
      </c>
    </row>
    <row r="429">
      <c r="A429" s="12" t="inlineStr">
        <is>
          <t>Struer Provsti</t>
        </is>
      </c>
      <c r="B429" s="12" t="inlineStr">
        <is>
          <t>Indbyggertal</t>
        </is>
      </c>
      <c r="C429" s="13" t="n">
        <v>20122</v>
      </c>
      <c r="D429" s="13" t="n">
        <v>20152</v>
      </c>
      <c r="E429" s="13" t="n">
        <v>30</v>
      </c>
      <c r="F429" s="12" t="inlineStr">
        <is>
          <t>Primær kilde i master er ny tabel, hvis feltet findes dér</t>
        </is>
      </c>
    </row>
    <row r="430">
      <c r="A430" s="12" t="inlineStr">
        <is>
          <t>Struer Provsti</t>
        </is>
      </c>
      <c r="B430" s="12" t="inlineStr">
        <is>
          <t>Folkekirkemedlemmer</t>
        </is>
      </c>
      <c r="C430" s="13" t="n">
        <v>16299</v>
      </c>
      <c r="D430" s="13" t="n">
        <v>16291</v>
      </c>
      <c r="E430" s="13" t="n">
        <v>-8</v>
      </c>
      <c r="F430" s="12" t="inlineStr">
        <is>
          <t>Primær kilde i master er ny tabel, hvis feltet findes dér</t>
        </is>
      </c>
    </row>
    <row r="431">
      <c r="A431" s="12" t="inlineStr">
        <is>
          <t>Struer Provsti</t>
        </is>
      </c>
      <c r="B431" s="12" t="inlineStr">
        <is>
          <t>Medlemsprocent</t>
        </is>
      </c>
      <c r="C431" s="13" t="n">
        <v>0.8100000000000001</v>
      </c>
      <c r="D431" s="13" t="n">
        <v>0.8084061135371179</v>
      </c>
      <c r="E431" s="13" t="n">
        <v>-0.001593886462882166</v>
      </c>
      <c r="F431" s="12" t="inlineStr">
        <is>
          <t>Primær kilde i master er ny tabel, hvis feltet findes dér</t>
        </is>
      </c>
    </row>
    <row r="432">
      <c r="A432" s="12" t="inlineStr">
        <is>
          <t>Struer Provsti</t>
        </is>
      </c>
      <c r="B432" s="12" t="inlineStr">
        <is>
          <t>Kirker</t>
        </is>
      </c>
      <c r="C432" s="13" t="n"/>
      <c r="D432" s="13" t="n">
        <v>18</v>
      </c>
      <c r="E432" s="13" t="n"/>
      <c r="F432" s="12" t="inlineStr">
        <is>
          <t>Mangler i en af kilderne</t>
        </is>
      </c>
    </row>
    <row r="433">
      <c r="A433" s="12" t="inlineStr">
        <is>
          <t>Struer Provsti</t>
        </is>
      </c>
      <c r="B433" s="12" t="inlineStr">
        <is>
          <t>Lokal ligning t.kr.</t>
        </is>
      </c>
      <c r="C433" s="13" t="n"/>
      <c r="D433" s="13" t="n">
        <v>37453.96652017703</v>
      </c>
      <c r="E433" s="13" t="n"/>
      <c r="F433" s="12" t="inlineStr">
        <is>
          <t>Mangler i en af kilderne</t>
        </is>
      </c>
    </row>
    <row r="434">
      <c r="A434" s="12" t="inlineStr">
        <is>
          <t>Struer Provsti</t>
        </is>
      </c>
      <c r="B434" s="12" t="inlineStr">
        <is>
          <t>Maks. stiftsbidrag 1 % (t.kr.)</t>
        </is>
      </c>
      <c r="C434" s="13" t="n"/>
      <c r="D434" s="13" t="n">
        <v>374.5396652017703</v>
      </c>
      <c r="E434" s="13" t="n"/>
      <c r="F434" s="12" t="inlineStr">
        <is>
          <t>Mangler i en af kilderne</t>
        </is>
      </c>
    </row>
    <row r="435">
      <c r="A435" s="12" t="inlineStr">
        <is>
          <t>Vesthimmerlands Provsti</t>
        </is>
      </c>
      <c r="B435" s="12" t="inlineStr">
        <is>
          <t>Indbyggertal</t>
        </is>
      </c>
      <c r="C435" s="13" t="n">
        <v>35689</v>
      </c>
      <c r="D435" s="13" t="n">
        <v>35607</v>
      </c>
      <c r="E435" s="13" t="n">
        <v>-82</v>
      </c>
      <c r="F435" s="12" t="inlineStr">
        <is>
          <t>Primær kilde i master er ny tabel, hvis feltet findes dér</t>
        </is>
      </c>
    </row>
    <row r="436">
      <c r="A436" s="12" t="inlineStr">
        <is>
          <t>Vesthimmerlands Provsti</t>
        </is>
      </c>
      <c r="B436" s="12" t="inlineStr">
        <is>
          <t>Folkekirkemedlemmer</t>
        </is>
      </c>
      <c r="C436" s="13" t="n">
        <v>29581</v>
      </c>
      <c r="D436" s="13" t="n">
        <v>29509</v>
      </c>
      <c r="E436" s="13" t="n">
        <v>-72</v>
      </c>
      <c r="F436" s="12" t="inlineStr">
        <is>
          <t>Primær kilde i master er ny tabel, hvis feltet findes dér</t>
        </is>
      </c>
    </row>
    <row r="437">
      <c r="A437" s="12" t="inlineStr">
        <is>
          <t>Vesthimmerlands Provsti</t>
        </is>
      </c>
      <c r="B437" s="12" t="inlineStr">
        <is>
          <t>Medlemsprocent</t>
        </is>
      </c>
      <c r="C437" s="13" t="n">
        <v>0.8290000000000001</v>
      </c>
      <c r="D437" s="13" t="n">
        <v>0.828741539584913</v>
      </c>
      <c r="E437" s="13" t="n">
        <v>-0.0002584604150870362</v>
      </c>
      <c r="F437" s="12" t="inlineStr">
        <is>
          <t>Primær kilde i master er ny tabel, hvis feltet findes dér</t>
        </is>
      </c>
    </row>
    <row r="438">
      <c r="A438" s="12" t="inlineStr">
        <is>
          <t>Vesthimmerlands Provsti</t>
        </is>
      </c>
      <c r="B438" s="12" t="inlineStr">
        <is>
          <t>Kirker</t>
        </is>
      </c>
      <c r="C438" s="13" t="n"/>
      <c r="D438" s="13" t="n">
        <v>39</v>
      </c>
      <c r="E438" s="13" t="n"/>
      <c r="F438" s="12" t="inlineStr">
        <is>
          <t>Mangler i en af kilderne</t>
        </is>
      </c>
    </row>
    <row r="439">
      <c r="A439" s="12" t="inlineStr">
        <is>
          <t>Vesthimmerlands Provsti</t>
        </is>
      </c>
      <c r="B439" s="12" t="inlineStr">
        <is>
          <t>Lokal ligning t.kr.</t>
        </is>
      </c>
      <c r="C439" s="13" t="n"/>
      <c r="D439" s="13" t="n">
        <v>65997.5499247054</v>
      </c>
      <c r="E439" s="13" t="n"/>
      <c r="F439" s="12" t="inlineStr">
        <is>
          <t>Mangler i en af kilderne</t>
        </is>
      </c>
    </row>
    <row r="440">
      <c r="A440" s="12" t="inlineStr">
        <is>
          <t>Vesthimmerlands Provsti</t>
        </is>
      </c>
      <c r="B440" s="12" t="inlineStr">
        <is>
          <t>Maks. stiftsbidrag 1 % (t.kr.)</t>
        </is>
      </c>
      <c r="C440" s="13" t="n"/>
      <c r="D440" s="13" t="n">
        <v>659.975499247054</v>
      </c>
      <c r="E440" s="13" t="n"/>
      <c r="F440" s="12" t="inlineStr">
        <is>
          <t>Mangler i en af kilderne</t>
        </is>
      </c>
    </row>
    <row r="441">
      <c r="A441" s="12" t="inlineStr">
        <is>
          <t>Viborg Domprovsti</t>
        </is>
      </c>
      <c r="B441" s="12" t="inlineStr">
        <is>
          <t>Indbyggertal</t>
        </is>
      </c>
      <c r="C441" s="13" t="n">
        <v>62223</v>
      </c>
      <c r="D441" s="13" t="n">
        <v>62380</v>
      </c>
      <c r="E441" s="13" t="n">
        <v>157</v>
      </c>
      <c r="F441" s="12" t="inlineStr">
        <is>
          <t>Primær kilde i master er ny tabel, hvis feltet findes dér</t>
        </is>
      </c>
    </row>
    <row r="442">
      <c r="A442" s="12" t="inlineStr">
        <is>
          <t>Viborg Domprovsti</t>
        </is>
      </c>
      <c r="B442" s="12" t="inlineStr">
        <is>
          <t>Folkekirkemedlemmer</t>
        </is>
      </c>
      <c r="C442" s="13" t="n">
        <v>49594</v>
      </c>
      <c r="D442" s="13" t="n">
        <v>49604</v>
      </c>
      <c r="E442" s="13" t="n">
        <v>10</v>
      </c>
      <c r="F442" s="12" t="inlineStr">
        <is>
          <t>Primær kilde i master er ny tabel, hvis feltet findes dér</t>
        </is>
      </c>
    </row>
    <row r="443">
      <c r="A443" s="12" t="inlineStr">
        <is>
          <t>Viborg Domprovsti</t>
        </is>
      </c>
      <c r="B443" s="12" t="inlineStr">
        <is>
          <t>Medlemsprocent</t>
        </is>
      </c>
      <c r="C443" s="13" t="n">
        <v>0.797</v>
      </c>
      <c r="D443" s="13" t="n">
        <v>0.7951907662712407</v>
      </c>
      <c r="E443" s="13" t="n">
        <v>-0.001809233728759296</v>
      </c>
      <c r="F443" s="12" t="inlineStr">
        <is>
          <t>Primær kilde i master er ny tabel, hvis feltet findes dér</t>
        </is>
      </c>
    </row>
    <row r="444">
      <c r="A444" s="12" t="inlineStr">
        <is>
          <t>Viborg Domprovsti</t>
        </is>
      </c>
      <c r="B444" s="12" t="inlineStr">
        <is>
          <t>Kirker</t>
        </is>
      </c>
      <c r="C444" s="13" t="n"/>
      <c r="D444" s="13" t="n">
        <v>37</v>
      </c>
      <c r="E444" s="13" t="n"/>
      <c r="F444" s="12" t="inlineStr">
        <is>
          <t>Mangler i en af kilderne</t>
        </is>
      </c>
    </row>
    <row r="445">
      <c r="A445" s="12" t="inlineStr">
        <is>
          <t>Viborg Domprovsti</t>
        </is>
      </c>
      <c r="B445" s="12" t="inlineStr">
        <is>
          <t>Lokal ligning t.kr.</t>
        </is>
      </c>
      <c r="C445" s="13" t="n"/>
      <c r="D445" s="13" t="n">
        <v>135013.9817555464</v>
      </c>
      <c r="E445" s="13" t="n"/>
      <c r="F445" s="12" t="inlineStr">
        <is>
          <t>Mangler i en af kilderne</t>
        </is>
      </c>
    </row>
    <row r="446">
      <c r="A446" s="12" t="inlineStr">
        <is>
          <t>Viborg Domprovsti</t>
        </is>
      </c>
      <c r="B446" s="12" t="inlineStr">
        <is>
          <t>Maks. stiftsbidrag 1 % (t.kr.)</t>
        </is>
      </c>
      <c r="C446" s="13" t="n"/>
      <c r="D446" s="13" t="n">
        <v>1350.139817555464</v>
      </c>
      <c r="E446" s="13" t="n"/>
      <c r="F446" s="12" t="inlineStr">
        <is>
          <t>Mangler i en af kilderne</t>
        </is>
      </c>
    </row>
    <row r="447">
      <c r="A447" s="12" t="inlineStr">
        <is>
          <t>Viborg Østre Provsti</t>
        </is>
      </c>
      <c r="B447" s="12" t="inlineStr">
        <is>
          <t>Indbyggertal</t>
        </is>
      </c>
      <c r="C447" s="13" t="n">
        <v>36384</v>
      </c>
      <c r="D447" s="13" t="n">
        <v>36357</v>
      </c>
      <c r="E447" s="13" t="n">
        <v>-27</v>
      </c>
      <c r="F447" s="12" t="inlineStr">
        <is>
          <t>Primær kilde i master er ny tabel, hvis feltet findes dér</t>
        </is>
      </c>
    </row>
    <row r="448">
      <c r="A448" s="12" t="inlineStr">
        <is>
          <t>Viborg Østre Provsti</t>
        </is>
      </c>
      <c r="B448" s="12" t="inlineStr">
        <is>
          <t>Folkekirkemedlemmer</t>
        </is>
      </c>
      <c r="C448" s="13" t="n">
        <v>30310</v>
      </c>
      <c r="D448" s="13" t="n">
        <v>30280</v>
      </c>
      <c r="E448" s="13" t="n">
        <v>-30</v>
      </c>
      <c r="F448" s="12" t="inlineStr">
        <is>
          <t>Primær kilde i master er ny tabel, hvis feltet findes dér</t>
        </is>
      </c>
    </row>
    <row r="449">
      <c r="A449" s="12" t="inlineStr">
        <is>
          <t>Viborg Østre Provsti</t>
        </is>
      </c>
      <c r="B449" s="12" t="inlineStr">
        <is>
          <t>Medlemsprocent</t>
        </is>
      </c>
      <c r="C449" s="13" t="n">
        <v>0.833</v>
      </c>
      <c r="D449" s="13" t="n">
        <v>0.8328519954891768</v>
      </c>
      <c r="E449" s="13" t="n">
        <v>-0.0001480045108231964</v>
      </c>
      <c r="F449" s="12" t="inlineStr">
        <is>
          <t>Primær kilde i master er ny tabel, hvis feltet findes dér</t>
        </is>
      </c>
    </row>
    <row r="450">
      <c r="A450" s="12" t="inlineStr">
        <is>
          <t>Viborg Østre Provsti</t>
        </is>
      </c>
      <c r="B450" s="12" t="inlineStr">
        <is>
          <t>Kirker</t>
        </is>
      </c>
      <c r="C450" s="13" t="n"/>
      <c r="D450" s="13" t="n">
        <v>39</v>
      </c>
      <c r="E450" s="13" t="n"/>
      <c r="F450" s="12" t="inlineStr">
        <is>
          <t>Mangler i en af kilderne</t>
        </is>
      </c>
    </row>
    <row r="451">
      <c r="A451" s="12" t="inlineStr">
        <is>
          <t>Viborg Østre Provsti</t>
        </is>
      </c>
      <c r="B451" s="12" t="inlineStr">
        <is>
          <t>Maks. stiftsbidrag 1 % (t.kr.)</t>
        </is>
      </c>
      <c r="C451" s="13" t="n"/>
      <c r="D451" s="13" t="n">
        <v>0</v>
      </c>
      <c r="E451" s="13" t="n"/>
      <c r="F451" s="12" t="inlineStr">
        <is>
          <t>Mangler i en af kilderne</t>
        </is>
      </c>
    </row>
    <row r="452">
      <c r="A452" s="12" t="inlineStr">
        <is>
          <t>Brønderslev Provsti</t>
        </is>
      </c>
      <c r="B452" s="12" t="inlineStr">
        <is>
          <t>Indbyggertal</t>
        </is>
      </c>
      <c r="C452" s="13" t="n">
        <v>36530</v>
      </c>
      <c r="D452" s="13" t="n">
        <v>36633</v>
      </c>
      <c r="E452" s="13" t="n">
        <v>103</v>
      </c>
      <c r="F452" s="12" t="inlineStr">
        <is>
          <t>Primær kilde i master er ny tabel, hvis feltet findes dér</t>
        </is>
      </c>
    </row>
    <row r="453">
      <c r="A453" s="12" t="inlineStr">
        <is>
          <t>Brønderslev Provsti</t>
        </is>
      </c>
      <c r="B453" s="12" t="inlineStr">
        <is>
          <t>Folkekirkemedlemmer</t>
        </is>
      </c>
      <c r="C453" s="13" t="n">
        <v>30624</v>
      </c>
      <c r="D453" s="13" t="n">
        <v>30636</v>
      </c>
      <c r="E453" s="13" t="n">
        <v>12</v>
      </c>
      <c r="F453" s="12" t="inlineStr">
        <is>
          <t>Primær kilde i master er ny tabel, hvis feltet findes dér</t>
        </is>
      </c>
    </row>
    <row r="454">
      <c r="A454" s="12" t="inlineStr">
        <is>
          <t>Brønderslev Provsti</t>
        </is>
      </c>
      <c r="B454" s="12" t="inlineStr">
        <is>
          <t>Medlemsprocent</t>
        </is>
      </c>
      <c r="C454" s="13" t="n">
        <v>0.838</v>
      </c>
      <c r="D454" s="13" t="n">
        <v>0.8362951437228728</v>
      </c>
      <c r="E454" s="13" t="n">
        <v>-0.001704856277127131</v>
      </c>
      <c r="F454" s="12" t="inlineStr">
        <is>
          <t>Primær kilde i master er ny tabel, hvis feltet findes dér</t>
        </is>
      </c>
    </row>
    <row r="455">
      <c r="A455" s="12" t="inlineStr">
        <is>
          <t>Brønderslev Provsti</t>
        </is>
      </c>
      <c r="B455" s="12" t="inlineStr">
        <is>
          <t>Kirker</t>
        </is>
      </c>
      <c r="C455" s="13" t="n"/>
      <c r="D455" s="13" t="n">
        <v>22</v>
      </c>
      <c r="E455" s="13" t="n"/>
      <c r="F455" s="12" t="inlineStr">
        <is>
          <t>Mangler i en af kilderne</t>
        </is>
      </c>
    </row>
    <row r="456">
      <c r="A456" s="12" t="inlineStr">
        <is>
          <t>Brønderslev Provsti</t>
        </is>
      </c>
      <c r="B456" s="12" t="inlineStr">
        <is>
          <t>Lokal ligning t.kr.</t>
        </is>
      </c>
      <c r="C456" s="13" t="n"/>
      <c r="D456" s="13" t="n">
        <v>57727.30601644608</v>
      </c>
      <c r="E456" s="13" t="n"/>
      <c r="F456" s="12" t="inlineStr">
        <is>
          <t>Mangler i en af kilderne</t>
        </is>
      </c>
    </row>
    <row r="457">
      <c r="A457" s="12" t="inlineStr">
        <is>
          <t>Brønderslev Provsti</t>
        </is>
      </c>
      <c r="B457" s="12" t="inlineStr">
        <is>
          <t>Maks. stiftsbidrag 1 % (t.kr.)</t>
        </is>
      </c>
      <c r="C457" s="13" t="n"/>
      <c r="D457" s="13" t="n">
        <v>577.2730601644608</v>
      </c>
      <c r="E457" s="13" t="n"/>
      <c r="F457" s="12" t="inlineStr">
        <is>
          <t>Mangler i en af kilderne</t>
        </is>
      </c>
    </row>
    <row r="458">
      <c r="A458" s="12" t="inlineStr">
        <is>
          <t>Frederikshavn Provsti</t>
        </is>
      </c>
      <c r="B458" s="12" t="inlineStr">
        <is>
          <t>Indbyggertal</t>
        </is>
      </c>
      <c r="C458" s="13" t="n">
        <v>57522</v>
      </c>
      <c r="D458" s="13" t="n">
        <v>57443</v>
      </c>
      <c r="E458" s="13" t="n">
        <v>-79</v>
      </c>
      <c r="F458" s="12" t="inlineStr">
        <is>
          <t>Primær kilde i master er ny tabel, hvis feltet findes dér</t>
        </is>
      </c>
    </row>
    <row r="459">
      <c r="A459" s="12" t="inlineStr">
        <is>
          <t>Frederikshavn Provsti</t>
        </is>
      </c>
      <c r="B459" s="12" t="inlineStr">
        <is>
          <t>Folkekirkemedlemmer</t>
        </is>
      </c>
      <c r="C459" s="13" t="n">
        <v>46792</v>
      </c>
      <c r="D459" s="13" t="n">
        <v>46651</v>
      </c>
      <c r="E459" s="13" t="n">
        <v>-141</v>
      </c>
      <c r="F459" s="12" t="inlineStr">
        <is>
          <t>Primær kilde i master er ny tabel, hvis feltet findes dér</t>
        </is>
      </c>
    </row>
    <row r="460">
      <c r="A460" s="12" t="inlineStr">
        <is>
          <t>Frederikshavn Provsti</t>
        </is>
      </c>
      <c r="B460" s="12" t="inlineStr">
        <is>
          <t>Medlemsprocent</t>
        </is>
      </c>
      <c r="C460" s="13" t="n">
        <v>0.8129999999999999</v>
      </c>
      <c r="D460" s="13" t="n">
        <v>0.8121268039621886</v>
      </c>
      <c r="E460" s="13" t="n">
        <v>-0.0008731960378113302</v>
      </c>
      <c r="F460" s="12" t="inlineStr">
        <is>
          <t>Primær kilde i master er ny tabel, hvis feltet findes dér</t>
        </is>
      </c>
    </row>
    <row r="461">
      <c r="A461" s="12" t="inlineStr">
        <is>
          <t>Frederikshavn Provsti</t>
        </is>
      </c>
      <c r="B461" s="12" t="inlineStr">
        <is>
          <t>Kirker</t>
        </is>
      </c>
      <c r="C461" s="13" t="n"/>
      <c r="D461" s="13" t="n">
        <v>32</v>
      </c>
      <c r="E461" s="13" t="n"/>
      <c r="F461" s="12" t="inlineStr">
        <is>
          <t>Mangler i en af kilderne</t>
        </is>
      </c>
    </row>
    <row r="462">
      <c r="A462" s="12" t="inlineStr">
        <is>
          <t>Frederikshavn Provsti</t>
        </is>
      </c>
      <c r="B462" s="12" t="inlineStr">
        <is>
          <t>Lokal ligning t.kr.</t>
        </is>
      </c>
      <c r="C462" s="13" t="n"/>
      <c r="D462" s="13" t="n">
        <v>89509.75476870766</v>
      </c>
      <c r="E462" s="13" t="n"/>
      <c r="F462" s="12" t="inlineStr">
        <is>
          <t>Mangler i en af kilderne</t>
        </is>
      </c>
    </row>
    <row r="463">
      <c r="A463" s="12" t="inlineStr">
        <is>
          <t>Frederikshavn Provsti</t>
        </is>
      </c>
      <c r="B463" s="12" t="inlineStr">
        <is>
          <t>Maks. stiftsbidrag 1 % (t.kr.)</t>
        </is>
      </c>
      <c r="C463" s="13" t="n"/>
      <c r="D463" s="13" t="n">
        <v>895.0975476870766</v>
      </c>
      <c r="E463" s="13" t="n"/>
      <c r="F463" s="12" t="inlineStr">
        <is>
          <t>Mangler i en af kilderne</t>
        </is>
      </c>
    </row>
    <row r="464">
      <c r="A464" s="12" t="inlineStr">
        <is>
          <t>Hadsund Provsti</t>
        </is>
      </c>
      <c r="B464" s="12" t="inlineStr">
        <is>
          <t>Indbyggertal</t>
        </is>
      </c>
      <c r="C464" s="13" t="n">
        <v>17779</v>
      </c>
      <c r="D464" s="13" t="n">
        <v>17701</v>
      </c>
      <c r="E464" s="13" t="n">
        <v>-78</v>
      </c>
      <c r="F464" s="12" t="inlineStr">
        <is>
          <t>Primær kilde i master er ny tabel, hvis feltet findes dér</t>
        </is>
      </c>
    </row>
    <row r="465">
      <c r="A465" s="12" t="inlineStr">
        <is>
          <t>Hadsund Provsti</t>
        </is>
      </c>
      <c r="B465" s="12" t="inlineStr">
        <is>
          <t>Folkekirkemedlemmer</t>
        </is>
      </c>
      <c r="C465" s="13" t="n">
        <v>15027</v>
      </c>
      <c r="D465" s="13" t="n">
        <v>14937</v>
      </c>
      <c r="E465" s="13" t="n">
        <v>-90</v>
      </c>
      <c r="F465" s="12" t="inlineStr">
        <is>
          <t>Primær kilde i master er ny tabel, hvis feltet findes dér</t>
        </is>
      </c>
    </row>
    <row r="466">
      <c r="A466" s="12" t="inlineStr">
        <is>
          <t>Hadsund Provsti</t>
        </is>
      </c>
      <c r="B466" s="12" t="inlineStr">
        <is>
          <t>Medlemsprocent</t>
        </is>
      </c>
      <c r="C466" s="13" t="n">
        <v>0.845</v>
      </c>
      <c r="D466" s="13" t="n">
        <v>0.8438506299079148</v>
      </c>
      <c r="E466" s="13" t="n">
        <v>-0.001149370092085156</v>
      </c>
      <c r="F466" s="12" t="inlineStr">
        <is>
          <t>Primær kilde i master er ny tabel, hvis feltet findes dér</t>
        </is>
      </c>
    </row>
    <row r="467">
      <c r="A467" s="12" t="inlineStr">
        <is>
          <t>Hadsund Provsti</t>
        </is>
      </c>
      <c r="B467" s="12" t="inlineStr">
        <is>
          <t>Kirker</t>
        </is>
      </c>
      <c r="C467" s="13" t="n"/>
      <c r="D467" s="13" t="n">
        <v>14</v>
      </c>
      <c r="E467" s="13" t="n"/>
      <c r="F467" s="12" t="inlineStr">
        <is>
          <t>Mangler i en af kilderne</t>
        </is>
      </c>
    </row>
    <row r="468">
      <c r="A468" s="12" t="inlineStr">
        <is>
          <t>Hadsund Provsti</t>
        </is>
      </c>
      <c r="B468" s="12" t="inlineStr">
        <is>
          <t>Maks. stiftsbidrag 1 % (t.kr.)</t>
        </is>
      </c>
      <c r="C468" s="13" t="n"/>
      <c r="D468" s="13" t="n">
        <v>0</v>
      </c>
      <c r="E468" s="13" t="n"/>
      <c r="F468" s="12" t="inlineStr">
        <is>
          <t>Mangler i en af kilderne</t>
        </is>
      </c>
    </row>
    <row r="469">
      <c r="A469" s="12" t="inlineStr">
        <is>
          <t>Hjørring Nordre Provsti</t>
        </is>
      </c>
      <c r="B469" s="12" t="inlineStr">
        <is>
          <t>Indbyggertal</t>
        </is>
      </c>
      <c r="C469" s="13" t="n">
        <v>23080</v>
      </c>
      <c r="D469" s="13" t="n">
        <v>23033</v>
      </c>
      <c r="E469" s="13" t="n">
        <v>-47</v>
      </c>
      <c r="F469" s="12" t="inlineStr">
        <is>
          <t>Primær kilde i master er ny tabel, hvis feltet findes dér</t>
        </is>
      </c>
    </row>
    <row r="470">
      <c r="A470" s="12" t="inlineStr">
        <is>
          <t>Hjørring Nordre Provsti</t>
        </is>
      </c>
      <c r="B470" s="12" t="inlineStr">
        <is>
          <t>Folkekirkemedlemmer</t>
        </is>
      </c>
      <c r="C470" s="13" t="n">
        <v>19350</v>
      </c>
      <c r="D470" s="13" t="n">
        <v>19297</v>
      </c>
      <c r="E470" s="13" t="n">
        <v>-53</v>
      </c>
      <c r="F470" s="12" t="inlineStr">
        <is>
          <t>Primær kilde i master er ny tabel, hvis feltet findes dér</t>
        </is>
      </c>
    </row>
    <row r="471">
      <c r="A471" s="12" t="inlineStr">
        <is>
          <t>Hjørring Nordre Provsti</t>
        </is>
      </c>
      <c r="B471" s="12" t="inlineStr">
        <is>
          <t>Medlemsprocent</t>
        </is>
      </c>
      <c r="C471" s="13" t="n">
        <v>0.838</v>
      </c>
      <c r="D471" s="13" t="n">
        <v>0.8377979420830982</v>
      </c>
      <c r="E471" s="13" t="n">
        <v>-0.0002020579169017545</v>
      </c>
      <c r="F471" s="12" t="inlineStr">
        <is>
          <t>Primær kilde i master er ny tabel, hvis feltet findes dér</t>
        </is>
      </c>
    </row>
    <row r="472">
      <c r="A472" s="12" t="inlineStr">
        <is>
          <t>Hjørring Nordre Provsti</t>
        </is>
      </c>
      <c r="B472" s="12" t="inlineStr">
        <is>
          <t>Kirker</t>
        </is>
      </c>
      <c r="C472" s="13" t="n"/>
      <c r="D472" s="13" t="n">
        <v>23</v>
      </c>
      <c r="E472" s="13" t="n"/>
      <c r="F472" s="12" t="inlineStr">
        <is>
          <t>Mangler i en af kilderne</t>
        </is>
      </c>
    </row>
    <row r="473">
      <c r="A473" s="12" t="inlineStr">
        <is>
          <t>Hjørring Nordre Provsti</t>
        </is>
      </c>
      <c r="B473" s="12" t="inlineStr">
        <is>
          <t>Lokal ligning t.kr.</t>
        </is>
      </c>
      <c r="C473" s="13" t="n"/>
      <c r="D473" s="13" t="n">
        <v>117898.8509193002</v>
      </c>
      <c r="E473" s="13" t="n"/>
      <c r="F473" s="12" t="inlineStr">
        <is>
          <t>Mangler i en af kilderne</t>
        </is>
      </c>
    </row>
    <row r="474">
      <c r="A474" s="12" t="inlineStr">
        <is>
          <t>Hjørring Nordre Provsti</t>
        </is>
      </c>
      <c r="B474" s="12" t="inlineStr">
        <is>
          <t>Maks. stiftsbidrag 1 % (t.kr.)</t>
        </is>
      </c>
      <c r="C474" s="13" t="n"/>
      <c r="D474" s="13" t="n">
        <v>1178.988509193003</v>
      </c>
      <c r="E474" s="13" t="n"/>
      <c r="F474" s="12" t="inlineStr">
        <is>
          <t>Mangler i en af kilderne</t>
        </is>
      </c>
    </row>
    <row r="475">
      <c r="A475" s="12" t="inlineStr">
        <is>
          <t>Hjørring Søndre Provsti</t>
        </is>
      </c>
      <c r="B475" s="12" t="inlineStr">
        <is>
          <t>Indbyggertal</t>
        </is>
      </c>
      <c r="C475" s="13" t="n">
        <v>41582</v>
      </c>
      <c r="D475" s="13" t="n">
        <v>41575</v>
      </c>
      <c r="E475" s="13" t="n">
        <v>-7</v>
      </c>
      <c r="F475" s="12" t="inlineStr">
        <is>
          <t>Primær kilde i master er ny tabel, hvis feltet findes dér</t>
        </is>
      </c>
    </row>
    <row r="476">
      <c r="A476" s="12" t="inlineStr">
        <is>
          <t>Hjørring Søndre Provsti</t>
        </is>
      </c>
      <c r="B476" s="12" t="inlineStr">
        <is>
          <t>Folkekirkemedlemmer</t>
        </is>
      </c>
      <c r="C476" s="13" t="n">
        <v>34413</v>
      </c>
      <c r="D476" s="13" t="n">
        <v>34323</v>
      </c>
      <c r="E476" s="13" t="n">
        <v>-90</v>
      </c>
      <c r="F476" s="12" t="inlineStr">
        <is>
          <t>Primær kilde i master er ny tabel, hvis feltet findes dér</t>
        </is>
      </c>
    </row>
    <row r="477">
      <c r="A477" s="12" t="inlineStr">
        <is>
          <t>Hjørring Søndre Provsti</t>
        </is>
      </c>
      <c r="B477" s="12" t="inlineStr">
        <is>
          <t>Medlemsprocent</t>
        </is>
      </c>
      <c r="C477" s="13" t="n">
        <v>0.828</v>
      </c>
      <c r="D477" s="13" t="n">
        <v>0.8255682501503308</v>
      </c>
      <c r="E477" s="13" t="n">
        <v>-0.002431749849669207</v>
      </c>
      <c r="F477" s="12" t="inlineStr">
        <is>
          <t>Primær kilde i master er ny tabel, hvis feltet findes dér</t>
        </is>
      </c>
    </row>
    <row r="478">
      <c r="A478" s="12" t="inlineStr">
        <is>
          <t>Hjørring Søndre Provsti</t>
        </is>
      </c>
      <c r="B478" s="12" t="inlineStr">
        <is>
          <t>Kirker</t>
        </is>
      </c>
      <c r="C478" s="13" t="n"/>
      <c r="D478" s="13" t="n">
        <v>30</v>
      </c>
      <c r="E478" s="13" t="n"/>
      <c r="F478" s="12" t="inlineStr">
        <is>
          <t>Mangler i en af kilderne</t>
        </is>
      </c>
    </row>
    <row r="479">
      <c r="A479" s="12" t="inlineStr">
        <is>
          <t>Hjørring Søndre Provsti</t>
        </is>
      </c>
      <c r="B479" s="12" t="inlineStr">
        <is>
          <t>Maks. stiftsbidrag 1 % (t.kr.)</t>
        </is>
      </c>
      <c r="C479" s="13" t="n"/>
      <c r="D479" s="13" t="n">
        <v>0</v>
      </c>
      <c r="E479" s="13" t="n"/>
      <c r="F479" s="12" t="inlineStr">
        <is>
          <t>Mangler i en af kilderne</t>
        </is>
      </c>
    </row>
    <row r="480">
      <c r="A480" s="12" t="inlineStr">
        <is>
          <t>Jammerbugt Provsti</t>
        </is>
      </c>
      <c r="B480" s="12" t="inlineStr">
        <is>
          <t>Indbyggertal</t>
        </is>
      </c>
      <c r="C480" s="13" t="n">
        <v>37998</v>
      </c>
      <c r="D480" s="13" t="n">
        <v>37933</v>
      </c>
      <c r="E480" s="13" t="n">
        <v>-65</v>
      </c>
      <c r="F480" s="12" t="inlineStr">
        <is>
          <t>Primær kilde i master er ny tabel, hvis feltet findes dér</t>
        </is>
      </c>
    </row>
    <row r="481">
      <c r="A481" s="12" t="inlineStr">
        <is>
          <t>Jammerbugt Provsti</t>
        </is>
      </c>
      <c r="B481" s="12" t="inlineStr">
        <is>
          <t>Folkekirkemedlemmer</t>
        </is>
      </c>
      <c r="C481" s="13" t="n">
        <v>31888</v>
      </c>
      <c r="D481" s="13" t="n">
        <v>31781</v>
      </c>
      <c r="E481" s="13" t="n">
        <v>-107</v>
      </c>
      <c r="F481" s="12" t="inlineStr">
        <is>
          <t>Primær kilde i master er ny tabel, hvis feltet findes dér</t>
        </is>
      </c>
    </row>
    <row r="482">
      <c r="A482" s="12" t="inlineStr">
        <is>
          <t>Jammerbugt Provsti</t>
        </is>
      </c>
      <c r="B482" s="12" t="inlineStr">
        <is>
          <t>Medlemsprocent</t>
        </is>
      </c>
      <c r="C482" s="13" t="n">
        <v>0.8390000000000001</v>
      </c>
      <c r="D482" s="13" t="n">
        <v>0.8378193129992355</v>
      </c>
      <c r="E482" s="13" t="n">
        <v>-0.001180687000764569</v>
      </c>
      <c r="F482" s="12" t="inlineStr">
        <is>
          <t>Primær kilde i master er ny tabel, hvis feltet findes dér</t>
        </is>
      </c>
    </row>
    <row r="483">
      <c r="A483" s="12" t="inlineStr">
        <is>
          <t>Jammerbugt Provsti</t>
        </is>
      </c>
      <c r="B483" s="12" t="inlineStr">
        <is>
          <t>Kirker</t>
        </is>
      </c>
      <c r="C483" s="13" t="n"/>
      <c r="D483" s="13" t="n">
        <v>33</v>
      </c>
      <c r="E483" s="13" t="n"/>
      <c r="F483" s="12" t="inlineStr">
        <is>
          <t>Mangler i en af kilderne</t>
        </is>
      </c>
    </row>
    <row r="484">
      <c r="A484" s="12" t="inlineStr">
        <is>
          <t>Jammerbugt Provsti</t>
        </is>
      </c>
      <c r="B484" s="12" t="inlineStr">
        <is>
          <t>Lokal ligning t.kr.</t>
        </is>
      </c>
      <c r="C484" s="13" t="n"/>
      <c r="D484" s="13" t="n">
        <v>68522.96343530589</v>
      </c>
      <c r="E484" s="13" t="n"/>
      <c r="F484" s="12" t="inlineStr">
        <is>
          <t>Mangler i en af kilderne</t>
        </is>
      </c>
    </row>
    <row r="485">
      <c r="A485" s="12" t="inlineStr">
        <is>
          <t>Jammerbugt Provsti</t>
        </is>
      </c>
      <c r="B485" s="12" t="inlineStr">
        <is>
          <t>Maks. stiftsbidrag 1 % (t.kr.)</t>
        </is>
      </c>
      <c r="C485" s="13" t="n"/>
      <c r="D485" s="13" t="n">
        <v>685.2296343530589</v>
      </c>
      <c r="E485" s="13" t="n"/>
      <c r="F485" s="12" t="inlineStr">
        <is>
          <t>Mangler i en af kilderne</t>
        </is>
      </c>
    </row>
    <row r="486">
      <c r="A486" s="12" t="inlineStr">
        <is>
          <t>Morsø Provsti</t>
        </is>
      </c>
      <c r="B486" s="12" t="inlineStr">
        <is>
          <t>Indbyggertal</t>
        </is>
      </c>
      <c r="C486" s="13" t="n">
        <v>19344</v>
      </c>
      <c r="D486" s="13" t="n">
        <v>19329</v>
      </c>
      <c r="E486" s="13" t="n">
        <v>-15</v>
      </c>
      <c r="F486" s="12" t="inlineStr">
        <is>
          <t>Primær kilde i master er ny tabel, hvis feltet findes dér</t>
        </is>
      </c>
    </row>
    <row r="487">
      <c r="A487" s="12" t="inlineStr">
        <is>
          <t>Morsø Provsti</t>
        </is>
      </c>
      <c r="B487" s="12" t="inlineStr">
        <is>
          <t>Folkekirkemedlemmer</t>
        </is>
      </c>
      <c r="C487" s="13" t="n">
        <v>15727</v>
      </c>
      <c r="D487" s="13" t="n">
        <v>15681</v>
      </c>
      <c r="E487" s="13" t="n">
        <v>-46</v>
      </c>
      <c r="F487" s="12" t="inlineStr">
        <is>
          <t>Primær kilde i master er ny tabel, hvis feltet findes dér</t>
        </is>
      </c>
    </row>
    <row r="488">
      <c r="A488" s="12" t="inlineStr">
        <is>
          <t>Morsø Provsti</t>
        </is>
      </c>
      <c r="B488" s="12" t="inlineStr">
        <is>
          <t>Medlemsprocent</t>
        </is>
      </c>
      <c r="C488" s="13" t="n">
        <v>0.8129999999999999</v>
      </c>
      <c r="D488" s="13" t="n">
        <v>0.8112680428371877</v>
      </c>
      <c r="E488" s="13" t="n">
        <v>-0.00173195716281227</v>
      </c>
      <c r="F488" s="12" t="inlineStr">
        <is>
          <t>Primær kilde i master er ny tabel, hvis feltet findes dér</t>
        </is>
      </c>
    </row>
    <row r="489">
      <c r="A489" s="12" t="inlineStr">
        <is>
          <t>Morsø Provsti</t>
        </is>
      </c>
      <c r="B489" s="12" t="inlineStr">
        <is>
          <t>Kirker</t>
        </is>
      </c>
      <c r="C489" s="13" t="n"/>
      <c r="D489" s="13" t="n">
        <v>34</v>
      </c>
      <c r="E489" s="13" t="n"/>
      <c r="F489" s="12" t="inlineStr">
        <is>
          <t>Mangler i en af kilderne</t>
        </is>
      </c>
    </row>
    <row r="490">
      <c r="A490" s="12" t="inlineStr">
        <is>
          <t>Morsø Provsti</t>
        </is>
      </c>
      <c r="B490" s="12" t="inlineStr">
        <is>
          <t>Lokal ligning t.kr.</t>
        </is>
      </c>
      <c r="C490" s="13" t="n"/>
      <c r="D490" s="13" t="n">
        <v>34931.46183113618</v>
      </c>
      <c r="E490" s="13" t="n"/>
      <c r="F490" s="12" t="inlineStr">
        <is>
          <t>Mangler i en af kilderne</t>
        </is>
      </c>
    </row>
    <row r="491">
      <c r="A491" s="12" t="inlineStr">
        <is>
          <t>Morsø Provsti</t>
        </is>
      </c>
      <c r="B491" s="12" t="inlineStr">
        <is>
          <t>Maks. stiftsbidrag 1 % (t.kr.)</t>
        </is>
      </c>
      <c r="C491" s="13" t="n"/>
      <c r="D491" s="13" t="n">
        <v>349.3146183113618</v>
      </c>
      <c r="E491" s="13" t="n"/>
      <c r="F491" s="12" t="inlineStr">
        <is>
          <t>Mangler i en af kilderne</t>
        </is>
      </c>
    </row>
    <row r="492">
      <c r="A492" s="12" t="inlineStr">
        <is>
          <t>Rebild Provsti</t>
        </is>
      </c>
      <c r="B492" s="12" t="inlineStr">
        <is>
          <t>Indbyggertal</t>
        </is>
      </c>
      <c r="C492" s="13" t="n">
        <v>31280</v>
      </c>
      <c r="D492" s="13" t="n">
        <v>31276</v>
      </c>
      <c r="E492" s="13" t="n">
        <v>-4</v>
      </c>
      <c r="F492" s="12" t="inlineStr">
        <is>
          <t>Primær kilde i master er ny tabel, hvis feltet findes dér</t>
        </is>
      </c>
    </row>
    <row r="493">
      <c r="A493" s="12" t="inlineStr">
        <is>
          <t>Rebild Provsti</t>
        </is>
      </c>
      <c r="B493" s="12" t="inlineStr">
        <is>
          <t>Folkekirkemedlemmer</t>
        </is>
      </c>
      <c r="C493" s="13" t="n">
        <v>25854</v>
      </c>
      <c r="D493" s="13" t="n">
        <v>25824</v>
      </c>
      <c r="E493" s="13" t="n">
        <v>-30</v>
      </c>
      <c r="F493" s="12" t="inlineStr">
        <is>
          <t>Primær kilde i master er ny tabel, hvis feltet findes dér</t>
        </is>
      </c>
    </row>
    <row r="494">
      <c r="A494" s="12" t="inlineStr">
        <is>
          <t>Rebild Provsti</t>
        </is>
      </c>
      <c r="B494" s="12" t="inlineStr">
        <is>
          <t>Medlemsprocent</t>
        </is>
      </c>
      <c r="C494" s="13" t="n">
        <v>0.8270000000000001</v>
      </c>
      <c r="D494" s="13" t="n">
        <v>0.8256810333802277</v>
      </c>
      <c r="E494" s="13" t="n">
        <v>-0.001318966619772377</v>
      </c>
      <c r="F494" s="12" t="inlineStr">
        <is>
          <t>Primær kilde i master er ny tabel, hvis feltet findes dér</t>
        </is>
      </c>
    </row>
    <row r="495">
      <c r="A495" s="12" t="inlineStr">
        <is>
          <t>Rebild Provsti</t>
        </is>
      </c>
      <c r="B495" s="12" t="inlineStr">
        <is>
          <t>Kirker</t>
        </is>
      </c>
      <c r="C495" s="13" t="n"/>
      <c r="D495" s="13" t="n">
        <v>30</v>
      </c>
      <c r="E495" s="13" t="n"/>
      <c r="F495" s="12" t="inlineStr">
        <is>
          <t>Mangler i en af kilderne</t>
        </is>
      </c>
    </row>
    <row r="496">
      <c r="A496" s="12" t="inlineStr">
        <is>
          <t>Rebild Provsti</t>
        </is>
      </c>
      <c r="B496" s="12" t="inlineStr">
        <is>
          <t>Lokal ligning t.kr.</t>
        </is>
      </c>
      <c r="C496" s="13" t="n"/>
      <c r="D496" s="13" t="n">
        <v>59928.17793160963</v>
      </c>
      <c r="E496" s="13" t="n"/>
      <c r="F496" s="12" t="inlineStr">
        <is>
          <t>Mangler i en af kilderne</t>
        </is>
      </c>
    </row>
    <row r="497">
      <c r="A497" s="12" t="inlineStr">
        <is>
          <t>Rebild Provsti</t>
        </is>
      </c>
      <c r="B497" s="12" t="inlineStr">
        <is>
          <t>Maks. stiftsbidrag 1 % (t.kr.)</t>
        </is>
      </c>
      <c r="C497" s="13" t="n"/>
      <c r="D497" s="13" t="n">
        <v>599.2817793160964</v>
      </c>
      <c r="E497" s="13" t="n"/>
      <c r="F497" s="12" t="inlineStr">
        <is>
          <t>Mangler i en af kilderne</t>
        </is>
      </c>
    </row>
    <row r="498">
      <c r="A498" s="12" t="inlineStr">
        <is>
          <t>Sydthy Provsti</t>
        </is>
      </c>
      <c r="B498" s="12" t="inlineStr">
        <is>
          <t>Indbyggertal</t>
        </is>
      </c>
      <c r="C498" s="13" t="n">
        <v>12542</v>
      </c>
      <c r="D498" s="13" t="n">
        <v>12499</v>
      </c>
      <c r="E498" s="13" t="n">
        <v>-43</v>
      </c>
      <c r="F498" s="12" t="inlineStr">
        <is>
          <t>Primær kilde i master er ny tabel, hvis feltet findes dér</t>
        </is>
      </c>
    </row>
    <row r="499">
      <c r="A499" s="12" t="inlineStr">
        <is>
          <t>Sydthy Provsti</t>
        </is>
      </c>
      <c r="B499" s="12" t="inlineStr">
        <is>
          <t>Folkekirkemedlemmer</t>
        </is>
      </c>
      <c r="C499" s="13" t="n">
        <v>10600</v>
      </c>
      <c r="D499" s="13" t="n">
        <v>10580</v>
      </c>
      <c r="E499" s="13" t="n">
        <v>-20</v>
      </c>
      <c r="F499" s="12" t="inlineStr">
        <is>
          <t>Primær kilde i master er ny tabel, hvis feltet findes dér</t>
        </is>
      </c>
    </row>
    <row r="500">
      <c r="A500" s="12" t="inlineStr">
        <is>
          <t>Sydthy Provsti</t>
        </is>
      </c>
      <c r="B500" s="12" t="inlineStr">
        <is>
          <t>Medlemsprocent</t>
        </is>
      </c>
      <c r="C500" s="13" t="n">
        <v>0.845</v>
      </c>
      <c r="D500" s="13" t="n">
        <v>0.8464677174173934</v>
      </c>
      <c r="E500" s="13" t="n">
        <v>0.001467717417393377</v>
      </c>
      <c r="F500" s="12" t="inlineStr">
        <is>
          <t>Primær kilde i master er ny tabel, hvis feltet findes dér</t>
        </is>
      </c>
    </row>
    <row r="501">
      <c r="A501" s="12" t="inlineStr">
        <is>
          <t>Sydthy Provsti</t>
        </is>
      </c>
      <c r="B501" s="12" t="inlineStr">
        <is>
          <t>Kirker</t>
        </is>
      </c>
      <c r="C501" s="13" t="n"/>
      <c r="D501" s="13" t="n">
        <v>26</v>
      </c>
      <c r="E501" s="13" t="n"/>
      <c r="F501" s="12" t="inlineStr">
        <is>
          <t>Mangler i en af kilderne</t>
        </is>
      </c>
    </row>
    <row r="502">
      <c r="A502" s="12" t="inlineStr">
        <is>
          <t>Sydthy Provsti</t>
        </is>
      </c>
      <c r="B502" s="12" t="inlineStr">
        <is>
          <t>Maks. stiftsbidrag 1 % (t.kr.)</t>
        </is>
      </c>
      <c r="C502" s="13" t="n"/>
      <c r="D502" s="13" t="n">
        <v>0</v>
      </c>
      <c r="E502" s="13" t="n"/>
      <c r="F502" s="12" t="inlineStr">
        <is>
          <t>Mangler i en af kilderne</t>
        </is>
      </c>
    </row>
    <row r="503">
      <c r="A503" s="12" t="inlineStr">
        <is>
          <t>Thisted Provsti</t>
        </is>
      </c>
      <c r="B503" s="12" t="inlineStr">
        <is>
          <t>Indbyggertal</t>
        </is>
      </c>
      <c r="C503" s="13" t="n">
        <v>30030</v>
      </c>
      <c r="D503" s="13" t="n">
        <v>30045</v>
      </c>
      <c r="E503" s="13" t="n">
        <v>15</v>
      </c>
      <c r="F503" s="12" t="inlineStr">
        <is>
          <t>Primær kilde i master er ny tabel, hvis feltet findes dér</t>
        </is>
      </c>
    </row>
    <row r="504">
      <c r="A504" s="12" t="inlineStr">
        <is>
          <t>Thisted Provsti</t>
        </is>
      </c>
      <c r="B504" s="12" t="inlineStr">
        <is>
          <t>Folkekirkemedlemmer</t>
        </is>
      </c>
      <c r="C504" s="13" t="n">
        <v>23787</v>
      </c>
      <c r="D504" s="13" t="n">
        <v>23769</v>
      </c>
      <c r="E504" s="13" t="n">
        <v>-18</v>
      </c>
      <c r="F504" s="12" t="inlineStr">
        <is>
          <t>Primær kilde i master er ny tabel, hvis feltet findes dér</t>
        </is>
      </c>
    </row>
    <row r="505">
      <c r="A505" s="12" t="inlineStr">
        <is>
          <t>Thisted Provsti</t>
        </is>
      </c>
      <c r="B505" s="12" t="inlineStr">
        <is>
          <t>Medlemsprocent</t>
        </is>
      </c>
      <c r="C505" s="13" t="n">
        <v>0.792</v>
      </c>
      <c r="D505" s="13" t="n">
        <v>0.7911133300049925</v>
      </c>
      <c r="E505" s="13" t="n">
        <v>-0.0008866699950075274</v>
      </c>
      <c r="F505" s="12" t="inlineStr">
        <is>
          <t>Primær kilde i master er ny tabel, hvis feltet findes dér</t>
        </is>
      </c>
    </row>
    <row r="506">
      <c r="A506" s="12" t="inlineStr">
        <is>
          <t>Thisted Provsti</t>
        </is>
      </c>
      <c r="B506" s="12" t="inlineStr">
        <is>
          <t>Kirker</t>
        </is>
      </c>
      <c r="C506" s="13" t="n"/>
      <c r="D506" s="13" t="n">
        <v>35</v>
      </c>
      <c r="E506" s="13" t="n"/>
      <c r="F506" s="12" t="inlineStr">
        <is>
          <t>Mangler i en af kilderne</t>
        </is>
      </c>
    </row>
    <row r="507">
      <c r="A507" s="12" t="inlineStr">
        <is>
          <t>Thisted Provsti</t>
        </is>
      </c>
      <c r="B507" s="12" t="inlineStr">
        <is>
          <t>Lokal ligning t.kr.</t>
        </is>
      </c>
      <c r="C507" s="13" t="n"/>
      <c r="D507" s="13" t="n">
        <v>80838.76433511397</v>
      </c>
      <c r="E507" s="13" t="n"/>
      <c r="F507" s="12" t="inlineStr">
        <is>
          <t>Mangler i en af kilderne</t>
        </is>
      </c>
    </row>
    <row r="508">
      <c r="A508" s="12" t="inlineStr">
        <is>
          <t>Thisted Provsti</t>
        </is>
      </c>
      <c r="B508" s="12" t="inlineStr">
        <is>
          <t>Maks. stiftsbidrag 1 % (t.kr.)</t>
        </is>
      </c>
      <c r="C508" s="13" t="n"/>
      <c r="D508" s="13" t="n">
        <v>808.3876433511398</v>
      </c>
      <c r="E508" s="13" t="n"/>
      <c r="F508" s="12" t="inlineStr">
        <is>
          <t>Mangler i en af kilderne</t>
        </is>
      </c>
    </row>
    <row r="509">
      <c r="A509" s="12" t="inlineStr">
        <is>
          <t>Aalborg Budolfi Provsti</t>
        </is>
      </c>
      <c r="B509" s="12" t="inlineStr">
        <is>
          <t>Indbyggertal</t>
        </is>
      </c>
      <c r="C509" s="13" t="n">
        <v>84561</v>
      </c>
      <c r="D509" s="13" t="n">
        <v>84613</v>
      </c>
      <c r="E509" s="13" t="n">
        <v>52</v>
      </c>
      <c r="F509" s="12" t="inlineStr">
        <is>
          <t>Primær kilde i master er ny tabel, hvis feltet findes dér</t>
        </is>
      </c>
    </row>
    <row r="510">
      <c r="A510" s="12" t="inlineStr">
        <is>
          <t>Aalborg Budolfi Provsti</t>
        </is>
      </c>
      <c r="B510" s="12" t="inlineStr">
        <is>
          <t>Folkekirkemedlemmer</t>
        </is>
      </c>
      <c r="C510" s="13" t="n">
        <v>61609</v>
      </c>
      <c r="D510" s="13" t="n">
        <v>61503</v>
      </c>
      <c r="E510" s="13" t="n">
        <v>-106</v>
      </c>
      <c r="F510" s="12" t="inlineStr">
        <is>
          <t>Primær kilde i master er ny tabel, hvis feltet findes dér</t>
        </is>
      </c>
    </row>
    <row r="511">
      <c r="A511" s="12" t="inlineStr">
        <is>
          <t>Aalborg Budolfi Provsti</t>
        </is>
      </c>
      <c r="B511" s="12" t="inlineStr">
        <is>
          <t>Medlemsprocent</t>
        </is>
      </c>
      <c r="C511" s="13" t="n">
        <v>0.7290000000000001</v>
      </c>
      <c r="D511" s="13" t="n">
        <v>0.7268741209979553</v>
      </c>
      <c r="E511" s="13" t="n">
        <v>-0.00212587900204475</v>
      </c>
      <c r="F511" s="12" t="inlineStr">
        <is>
          <t>Primær kilde i master er ny tabel, hvis feltet findes dér</t>
        </is>
      </c>
    </row>
    <row r="512">
      <c r="A512" s="12" t="inlineStr">
        <is>
          <t>Aalborg Budolfi Provsti</t>
        </is>
      </c>
      <c r="B512" s="12" t="inlineStr">
        <is>
          <t>Kirker</t>
        </is>
      </c>
      <c r="C512" s="13" t="n"/>
      <c r="D512" s="13" t="n">
        <v>15</v>
      </c>
      <c r="E512" s="13" t="n"/>
      <c r="F512" s="12" t="inlineStr">
        <is>
          <t>Mangler i en af kilderne</t>
        </is>
      </c>
    </row>
    <row r="513">
      <c r="A513" s="12" t="inlineStr">
        <is>
          <t>Aalborg Budolfi Provsti</t>
        </is>
      </c>
      <c r="B513" s="12" t="inlineStr">
        <is>
          <t>Lokal ligning t.kr.</t>
        </is>
      </c>
      <c r="C513" s="13" t="n"/>
      <c r="D513" s="13" t="n">
        <v>306527.3369873663</v>
      </c>
      <c r="E513" s="13" t="n"/>
      <c r="F513" s="12" t="inlineStr">
        <is>
          <t>Mangler i en af kilderne</t>
        </is>
      </c>
    </row>
    <row r="514">
      <c r="A514" s="12" t="inlineStr">
        <is>
          <t>Aalborg Budolfi Provsti</t>
        </is>
      </c>
      <c r="B514" s="12" t="inlineStr">
        <is>
          <t>Maks. stiftsbidrag 1 % (t.kr.)</t>
        </is>
      </c>
      <c r="C514" s="13" t="n"/>
      <c r="D514" s="13" t="n">
        <v>3065.273369873663</v>
      </c>
      <c r="E514" s="13" t="n"/>
      <c r="F514" s="12" t="inlineStr">
        <is>
          <t>Mangler i en af kilderne</t>
        </is>
      </c>
    </row>
    <row r="515">
      <c r="A515" s="12" t="inlineStr">
        <is>
          <t>Aalborg Nordre Provsti</t>
        </is>
      </c>
      <c r="B515" s="12" t="inlineStr">
        <is>
          <t>Indbyggertal</t>
        </is>
      </c>
      <c r="C515" s="13" t="n">
        <v>54377</v>
      </c>
      <c r="D515" s="13" t="n">
        <v>54417</v>
      </c>
      <c r="E515" s="13" t="n">
        <v>40</v>
      </c>
      <c r="F515" s="12" t="inlineStr">
        <is>
          <t>Primær kilde i master er ny tabel, hvis feltet findes dér</t>
        </is>
      </c>
    </row>
    <row r="516">
      <c r="A516" s="12" t="inlineStr">
        <is>
          <t>Aalborg Nordre Provsti</t>
        </is>
      </c>
      <c r="B516" s="12" t="inlineStr">
        <is>
          <t>Folkekirkemedlemmer</t>
        </is>
      </c>
      <c r="C516" s="13" t="n">
        <v>42790</v>
      </c>
      <c r="D516" s="13" t="n">
        <v>42762</v>
      </c>
      <c r="E516" s="13" t="n">
        <v>-28</v>
      </c>
      <c r="F516" s="12" t="inlineStr">
        <is>
          <t>Primær kilde i master er ny tabel, hvis feltet findes dér</t>
        </is>
      </c>
    </row>
    <row r="517">
      <c r="A517" s="12" t="inlineStr">
        <is>
          <t>Aalborg Nordre Provsti</t>
        </is>
      </c>
      <c r="B517" s="12" t="inlineStr">
        <is>
          <t>Medlemsprocent</t>
        </is>
      </c>
      <c r="C517" s="13" t="n">
        <v>0.787</v>
      </c>
      <c r="D517" s="13" t="n">
        <v>0.7858206075307349</v>
      </c>
      <c r="E517" s="13" t="n">
        <v>-0.001179392469265128</v>
      </c>
      <c r="F517" s="12" t="inlineStr">
        <is>
          <t>Primær kilde i master er ny tabel, hvis feltet findes dér</t>
        </is>
      </c>
    </row>
    <row r="518">
      <c r="A518" s="12" t="inlineStr">
        <is>
          <t>Aalborg Nordre Provsti</t>
        </is>
      </c>
      <c r="B518" s="12" t="inlineStr">
        <is>
          <t>Kirker</t>
        </is>
      </c>
      <c r="C518" s="13" t="n"/>
      <c r="D518" s="13" t="n">
        <v>24</v>
      </c>
      <c r="E518" s="13" t="n"/>
      <c r="F518" s="12" t="inlineStr">
        <is>
          <t>Mangler i en af kilderne</t>
        </is>
      </c>
    </row>
    <row r="519">
      <c r="A519" s="12" t="inlineStr">
        <is>
          <t>Aalborg Nordre Provsti</t>
        </is>
      </c>
      <c r="B519" s="12" t="inlineStr">
        <is>
          <t>Maks. stiftsbidrag 1 % (t.kr.)</t>
        </is>
      </c>
      <c r="C519" s="13" t="n"/>
      <c r="D519" s="13" t="n">
        <v>0</v>
      </c>
      <c r="E519" s="13" t="n"/>
      <c r="F519" s="12" t="inlineStr">
        <is>
          <t>Mangler i en af kilderne</t>
        </is>
      </c>
    </row>
    <row r="520">
      <c r="A520" s="12" t="inlineStr">
        <is>
          <t>Aalborg Vestre Provsti</t>
        </is>
      </c>
      <c r="B520" s="12" t="inlineStr">
        <is>
          <t>Indbyggertal</t>
        </is>
      </c>
      <c r="C520" s="13" t="n">
        <v>27117</v>
      </c>
      <c r="D520" s="13" t="n">
        <v>27243</v>
      </c>
      <c r="E520" s="13" t="n">
        <v>126</v>
      </c>
      <c r="F520" s="12" t="inlineStr">
        <is>
          <t>Primær kilde i master er ny tabel, hvis feltet findes dér</t>
        </is>
      </c>
    </row>
    <row r="521">
      <c r="A521" s="12" t="inlineStr">
        <is>
          <t>Aalborg Vestre Provsti</t>
        </is>
      </c>
      <c r="B521" s="12" t="inlineStr">
        <is>
          <t>Folkekirkemedlemmer</t>
        </is>
      </c>
      <c r="C521" s="13" t="n">
        <v>22785</v>
      </c>
      <c r="D521" s="13" t="n">
        <v>22875</v>
      </c>
      <c r="E521" s="13" t="n">
        <v>90</v>
      </c>
      <c r="F521" s="12" t="inlineStr">
        <is>
          <t>Primær kilde i master er ny tabel, hvis feltet findes dér</t>
        </is>
      </c>
    </row>
    <row r="522">
      <c r="A522" s="12" t="inlineStr">
        <is>
          <t>Aalborg Vestre Provsti</t>
        </is>
      </c>
      <c r="B522" s="12" t="inlineStr">
        <is>
          <t>Medlemsprocent</t>
        </is>
      </c>
      <c r="C522" s="13" t="n">
        <v>0.84</v>
      </c>
      <c r="D522" s="13" t="n">
        <v>0.8396652351062658</v>
      </c>
      <c r="E522" s="13" t="n">
        <v>-0.0003347648937341852</v>
      </c>
      <c r="F522" s="12" t="inlineStr">
        <is>
          <t>Primær kilde i master er ny tabel, hvis feltet findes dér</t>
        </is>
      </c>
    </row>
    <row r="523">
      <c r="A523" s="12" t="inlineStr">
        <is>
          <t>Aalborg Vestre Provsti</t>
        </is>
      </c>
      <c r="B523" s="12" t="inlineStr">
        <is>
          <t>Kirker</t>
        </is>
      </c>
      <c r="C523" s="13" t="n"/>
      <c r="D523" s="13" t="n">
        <v>18</v>
      </c>
      <c r="E523" s="13" t="n"/>
      <c r="F523" s="12" t="inlineStr">
        <is>
          <t>Mangler i en af kilderne</t>
        </is>
      </c>
    </row>
    <row r="524">
      <c r="A524" s="12" t="inlineStr">
        <is>
          <t>Aalborg Vestre Provsti</t>
        </is>
      </c>
      <c r="B524" s="12" t="inlineStr">
        <is>
          <t>Maks. stiftsbidrag 1 % (t.kr.)</t>
        </is>
      </c>
      <c r="C524" s="13" t="n"/>
      <c r="D524" s="13" t="n">
        <v>0</v>
      </c>
      <c r="E524" s="13" t="n"/>
      <c r="F524" s="12" t="inlineStr">
        <is>
          <t>Mangler i en af kilderne</t>
        </is>
      </c>
    </row>
    <row r="525">
      <c r="A525" s="12" t="inlineStr">
        <is>
          <t>Aalborg Østre Provsti</t>
        </is>
      </c>
      <c r="B525" s="12" t="inlineStr">
        <is>
          <t>Indbyggertal</t>
        </is>
      </c>
      <c r="C525" s="13" t="n">
        <v>59978</v>
      </c>
      <c r="D525" s="13" t="n">
        <v>60006</v>
      </c>
      <c r="E525" s="13" t="n">
        <v>28</v>
      </c>
      <c r="F525" s="12" t="inlineStr">
        <is>
          <t>Primær kilde i master er ny tabel, hvis feltet findes dér</t>
        </is>
      </c>
    </row>
    <row r="526">
      <c r="A526" s="12" t="inlineStr">
        <is>
          <t>Aalborg Østre Provsti</t>
        </is>
      </c>
      <c r="B526" s="12" t="inlineStr">
        <is>
          <t>Folkekirkemedlemmer</t>
        </is>
      </c>
      <c r="C526" s="13" t="n">
        <v>45054</v>
      </c>
      <c r="D526" s="13" t="n">
        <v>44981</v>
      </c>
      <c r="E526" s="13" t="n">
        <v>-73</v>
      </c>
      <c r="F526" s="12" t="inlineStr">
        <is>
          <t>Primær kilde i master er ny tabel, hvis feltet findes dér</t>
        </is>
      </c>
    </row>
    <row r="527">
      <c r="A527" s="12" t="inlineStr">
        <is>
          <t>Aalborg Østre Provsti</t>
        </is>
      </c>
      <c r="B527" s="12" t="inlineStr">
        <is>
          <t>Medlemsprocent</t>
        </is>
      </c>
      <c r="C527" s="13" t="n">
        <v>0.7509999999999999</v>
      </c>
      <c r="D527" s="13" t="n">
        <v>0.7496083724960837</v>
      </c>
      <c r="E527" s="13" t="n">
        <v>-0.001391627503916193</v>
      </c>
      <c r="F527" s="12" t="inlineStr">
        <is>
          <t>Primær kilde i master er ny tabel, hvis feltet findes dér</t>
        </is>
      </c>
    </row>
    <row r="528">
      <c r="A528" s="12" t="inlineStr">
        <is>
          <t>Aalborg Østre Provsti</t>
        </is>
      </c>
      <c r="B528" s="12" t="inlineStr">
        <is>
          <t>Kirker</t>
        </is>
      </c>
      <c r="C528" s="13" t="n"/>
      <c r="D528" s="13" t="n">
        <v>21</v>
      </c>
      <c r="E528" s="13" t="n"/>
      <c r="F528" s="12" t="inlineStr">
        <is>
          <t>Mangler i en af kilderne</t>
        </is>
      </c>
    </row>
    <row r="529">
      <c r="A529" s="12" t="inlineStr">
        <is>
          <t>Aalborg Østre Provsti</t>
        </is>
      </c>
      <c r="B529" s="12" t="inlineStr">
        <is>
          <t>Maks. stiftsbidrag 1 % (t.kr.)</t>
        </is>
      </c>
      <c r="C529" s="13" t="n"/>
      <c r="D529" s="13" t="n">
        <v>0</v>
      </c>
      <c r="E529" s="13" t="n"/>
      <c r="F529" s="12" t="inlineStr">
        <is>
          <t>Mangler i en af kilderne</t>
        </is>
      </c>
    </row>
    <row r="530">
      <c r="A530" s="12" t="inlineStr">
        <is>
          <t>Favrskov Provsti</t>
        </is>
      </c>
      <c r="B530" s="12" t="inlineStr">
        <is>
          <t>Indbyggertal</t>
        </is>
      </c>
      <c r="C530" s="13" t="n">
        <v>49709</v>
      </c>
      <c r="D530" s="13" t="n">
        <v>49800</v>
      </c>
      <c r="E530" s="13" t="n">
        <v>91</v>
      </c>
      <c r="F530" s="12" t="inlineStr">
        <is>
          <t>Primær kilde i master er ny tabel, hvis feltet findes dér</t>
        </is>
      </c>
    </row>
    <row r="531">
      <c r="A531" s="12" t="inlineStr">
        <is>
          <t>Favrskov Provsti</t>
        </is>
      </c>
      <c r="B531" s="12" t="inlineStr">
        <is>
          <t>Folkekirkemedlemmer</t>
        </is>
      </c>
      <c r="C531" s="13" t="n">
        <v>39585</v>
      </c>
      <c r="D531" s="13" t="n">
        <v>39604</v>
      </c>
      <c r="E531" s="13" t="n">
        <v>19</v>
      </c>
      <c r="F531" s="12" t="inlineStr">
        <is>
          <t>Primær kilde i master er ny tabel, hvis feltet findes dér</t>
        </is>
      </c>
    </row>
    <row r="532">
      <c r="A532" s="12" t="inlineStr">
        <is>
          <t>Favrskov Provsti</t>
        </is>
      </c>
      <c r="B532" s="12" t="inlineStr">
        <is>
          <t>Medlemsprocent</t>
        </is>
      </c>
      <c r="C532" s="13" t="n">
        <v>0.7959999999999999</v>
      </c>
      <c r="D532" s="13" t="n">
        <v>0.7952610441767068</v>
      </c>
      <c r="E532" s="13" t="n">
        <v>-0.000738955823293086</v>
      </c>
      <c r="F532" s="12" t="inlineStr">
        <is>
          <t>Primær kilde i master er ny tabel, hvis feltet findes dér</t>
        </is>
      </c>
    </row>
    <row r="533">
      <c r="A533" s="12" t="inlineStr">
        <is>
          <t>Favrskov Provsti</t>
        </is>
      </c>
      <c r="B533" s="12" t="inlineStr">
        <is>
          <t>Kirker</t>
        </is>
      </c>
      <c r="C533" s="13" t="n"/>
      <c r="D533" s="13" t="n">
        <v>41</v>
      </c>
      <c r="E533" s="13" t="n"/>
      <c r="F533" s="12" t="inlineStr">
        <is>
          <t>Mangler i en af kilderne</t>
        </is>
      </c>
    </row>
    <row r="534">
      <c r="A534" s="12" t="inlineStr">
        <is>
          <t>Favrskov Provsti</t>
        </is>
      </c>
      <c r="B534" s="12" t="inlineStr">
        <is>
          <t>Lokal ligning t.kr.</t>
        </is>
      </c>
      <c r="C534" s="13" t="n"/>
      <c r="D534" s="13" t="n">
        <v>72248.6965738048</v>
      </c>
      <c r="E534" s="13" t="n"/>
      <c r="F534" s="12" t="inlineStr">
        <is>
          <t>Mangler i en af kilderne</t>
        </is>
      </c>
    </row>
    <row r="535">
      <c r="A535" s="12" t="inlineStr">
        <is>
          <t>Favrskov Provsti</t>
        </is>
      </c>
      <c r="B535" s="12" t="inlineStr">
        <is>
          <t>Maks. stiftsbidrag 1 % (t.kr.)</t>
        </is>
      </c>
      <c r="C535" s="13" t="n"/>
      <c r="D535" s="13" t="n">
        <v>722.486965738048</v>
      </c>
      <c r="E535" s="13" t="n"/>
      <c r="F535" s="12" t="inlineStr">
        <is>
          <t>Mangler i en af kilderne</t>
        </is>
      </c>
    </row>
    <row r="536">
      <c r="A536" s="12" t="inlineStr">
        <is>
          <t>Hobro-Mariager Provsti</t>
        </is>
      </c>
      <c r="B536" s="12" t="inlineStr">
        <is>
          <t>Indbyggertal</t>
        </is>
      </c>
      <c r="C536" s="13" t="n">
        <v>23746</v>
      </c>
      <c r="D536" s="13" t="n">
        <v>23811</v>
      </c>
      <c r="E536" s="13" t="n">
        <v>65</v>
      </c>
      <c r="F536" s="12" t="inlineStr">
        <is>
          <t>Primær kilde i master er ny tabel, hvis feltet findes dér</t>
        </is>
      </c>
    </row>
    <row r="537">
      <c r="A537" s="12" t="inlineStr">
        <is>
          <t>Hobro-Mariager Provsti</t>
        </is>
      </c>
      <c r="B537" s="12" t="inlineStr">
        <is>
          <t>Folkekirkemedlemmer</t>
        </is>
      </c>
      <c r="C537" s="13" t="n">
        <v>18823</v>
      </c>
      <c r="D537" s="13" t="n">
        <v>18819</v>
      </c>
      <c r="E537" s="13" t="n">
        <v>-4</v>
      </c>
      <c r="F537" s="12" t="inlineStr">
        <is>
          <t>Primær kilde i master er ny tabel, hvis feltet findes dér</t>
        </is>
      </c>
    </row>
    <row r="538">
      <c r="A538" s="12" t="inlineStr">
        <is>
          <t>Hobro-Mariager Provsti</t>
        </is>
      </c>
      <c r="B538" s="12" t="inlineStr">
        <is>
          <t>Medlemsprocent</t>
        </is>
      </c>
      <c r="C538" s="13" t="n">
        <v>0.7929999999999999</v>
      </c>
      <c r="D538" s="13" t="n">
        <v>0.7903489983621016</v>
      </c>
      <c r="E538" s="13" t="n">
        <v>-0.002651001637898331</v>
      </c>
      <c r="F538" s="12" t="inlineStr">
        <is>
          <t>Primær kilde i master er ny tabel, hvis feltet findes dér</t>
        </is>
      </c>
    </row>
    <row r="539">
      <c r="A539" s="12" t="inlineStr">
        <is>
          <t>Hobro-Mariager Provsti</t>
        </is>
      </c>
      <c r="B539" s="12" t="inlineStr">
        <is>
          <t>Kirker</t>
        </is>
      </c>
      <c r="C539" s="13" t="n"/>
      <c r="D539" s="13" t="n">
        <v>21</v>
      </c>
      <c r="E539" s="13" t="n"/>
      <c r="F539" s="12" t="inlineStr">
        <is>
          <t>Mangler i en af kilderne</t>
        </is>
      </c>
    </row>
    <row r="540">
      <c r="A540" s="12" t="inlineStr">
        <is>
          <t>Hobro-Mariager Provsti</t>
        </is>
      </c>
      <c r="B540" s="12" t="inlineStr">
        <is>
          <t>Lokal ligning t.kr.</t>
        </is>
      </c>
      <c r="C540" s="13" t="n"/>
      <c r="D540" s="13" t="n">
        <v>73630.0477416747</v>
      </c>
      <c r="E540" s="13" t="n"/>
      <c r="F540" s="12" t="inlineStr">
        <is>
          <t>Mangler i en af kilderne</t>
        </is>
      </c>
    </row>
    <row r="541">
      <c r="A541" s="12" t="inlineStr">
        <is>
          <t>Hobro-Mariager Provsti</t>
        </is>
      </c>
      <c r="B541" s="12" t="inlineStr">
        <is>
          <t>Maks. stiftsbidrag 1 % (t.kr.)</t>
        </is>
      </c>
      <c r="C541" s="13" t="n"/>
      <c r="D541" s="13" t="n">
        <v>736.3004774167472</v>
      </c>
      <c r="E541" s="13" t="n"/>
      <c r="F541" s="12" t="inlineStr">
        <is>
          <t>Mangler i en af kilderne</t>
        </is>
      </c>
    </row>
    <row r="542">
      <c r="A542" s="12" t="inlineStr">
        <is>
          <t>Horsens Provsti</t>
        </is>
      </c>
      <c r="B542" s="12" t="inlineStr">
        <is>
          <t>Indbyggertal</t>
        </is>
      </c>
      <c r="C542" s="13" t="n">
        <v>98984</v>
      </c>
      <c r="D542" s="13" t="n">
        <v>99087</v>
      </c>
      <c r="E542" s="13" t="n">
        <v>103</v>
      </c>
      <c r="F542" s="12" t="inlineStr">
        <is>
          <t>Primær kilde i master er ny tabel, hvis feltet findes dér</t>
        </is>
      </c>
    </row>
    <row r="543">
      <c r="A543" s="12" t="inlineStr">
        <is>
          <t>Horsens Provsti</t>
        </is>
      </c>
      <c r="B543" s="12" t="inlineStr">
        <is>
          <t>Folkekirkemedlemmer</t>
        </is>
      </c>
      <c r="C543" s="13" t="n">
        <v>72387</v>
      </c>
      <c r="D543" s="13" t="n">
        <v>72401</v>
      </c>
      <c r="E543" s="13" t="n">
        <v>14</v>
      </c>
      <c r="F543" s="12" t="inlineStr">
        <is>
          <t>Primær kilde i master er ny tabel, hvis feltet findes dér</t>
        </is>
      </c>
    </row>
    <row r="544">
      <c r="A544" s="12" t="inlineStr">
        <is>
          <t>Horsens Provsti</t>
        </is>
      </c>
      <c r="B544" s="12" t="inlineStr">
        <is>
          <t>Medlemsprocent</t>
        </is>
      </c>
      <c r="C544" s="13" t="n">
        <v>0.731</v>
      </c>
      <c r="D544" s="13" t="n">
        <v>0.7306811186129361</v>
      </c>
      <c r="E544" s="13" t="n">
        <v>-0.0003188813870639295</v>
      </c>
      <c r="F544" s="12" t="inlineStr">
        <is>
          <t>Primær kilde i master er ny tabel, hvis feltet findes dér</t>
        </is>
      </c>
    </row>
    <row r="545">
      <c r="A545" s="12" t="inlineStr">
        <is>
          <t>Horsens Provsti</t>
        </is>
      </c>
      <c r="B545" s="12" t="inlineStr">
        <is>
          <t>Menighedsråd</t>
        </is>
      </c>
      <c r="C545" s="13" t="n">
        <v>22</v>
      </c>
      <c r="D545" s="13" t="n">
        <v>21</v>
      </c>
      <c r="E545" s="13" t="n">
        <v>-1</v>
      </c>
      <c r="F545" s="12" t="inlineStr">
        <is>
          <t>Primær kilde i master er ny tabel, hvis feltet findes dér</t>
        </is>
      </c>
    </row>
    <row r="546">
      <c r="A546" s="12" t="inlineStr">
        <is>
          <t>Horsens Provsti</t>
        </is>
      </c>
      <c r="B546" s="12" t="inlineStr">
        <is>
          <t>Kirker</t>
        </is>
      </c>
      <c r="C546" s="13" t="n"/>
      <c r="D546" s="13" t="n">
        <v>37</v>
      </c>
      <c r="E546" s="13" t="n"/>
      <c r="F546" s="12" t="inlineStr">
        <is>
          <t>Mangler i en af kilderne</t>
        </is>
      </c>
    </row>
    <row r="547">
      <c r="A547" s="12" t="inlineStr">
        <is>
          <t>Horsens Provsti</t>
        </is>
      </c>
      <c r="B547" s="12" t="inlineStr">
        <is>
          <t>Lokal ligning t.kr.</t>
        </is>
      </c>
      <c r="C547" s="13" t="n"/>
      <c r="D547" s="13" t="n">
        <v>102345.2014489394</v>
      </c>
      <c r="E547" s="13" t="n"/>
      <c r="F547" s="12" t="inlineStr">
        <is>
          <t>Mangler i en af kilderne</t>
        </is>
      </c>
    </row>
    <row r="548">
      <c r="A548" s="12" t="inlineStr">
        <is>
          <t>Horsens Provsti</t>
        </is>
      </c>
      <c r="B548" s="12" t="inlineStr">
        <is>
          <t>Maks. stiftsbidrag 1 % (t.kr.)</t>
        </is>
      </c>
      <c r="C548" s="13" t="n"/>
      <c r="D548" s="13" t="n">
        <v>1023.452014489394</v>
      </c>
      <c r="E548" s="13" t="n"/>
      <c r="F548" s="12" t="inlineStr">
        <is>
          <t>Mangler i en af kilderne</t>
        </is>
      </c>
    </row>
    <row r="549">
      <c r="A549" s="12" t="inlineStr">
        <is>
          <t>Norddjurs Provsti</t>
        </is>
      </c>
      <c r="B549" s="12" t="inlineStr">
        <is>
          <t>Indbyggertal</t>
        </is>
      </c>
      <c r="C549" s="13" t="n">
        <v>36477</v>
      </c>
      <c r="D549" s="13" t="n">
        <v>36496</v>
      </c>
      <c r="E549" s="13" t="n">
        <v>19</v>
      </c>
      <c r="F549" s="12" t="inlineStr">
        <is>
          <t>Primær kilde i master er ny tabel, hvis feltet findes dér</t>
        </is>
      </c>
    </row>
    <row r="550">
      <c r="A550" s="12" t="inlineStr">
        <is>
          <t>Norddjurs Provsti</t>
        </is>
      </c>
      <c r="B550" s="12" t="inlineStr">
        <is>
          <t>Folkekirkemedlemmer</t>
        </is>
      </c>
      <c r="C550" s="13" t="n">
        <v>29608</v>
      </c>
      <c r="D550" s="13" t="n">
        <v>29598</v>
      </c>
      <c r="E550" s="13" t="n">
        <v>-10</v>
      </c>
      <c r="F550" s="12" t="inlineStr">
        <is>
          <t>Primær kilde i master er ny tabel, hvis feltet findes dér</t>
        </is>
      </c>
    </row>
    <row r="551">
      <c r="A551" s="12" t="inlineStr">
        <is>
          <t>Norddjurs Provsti</t>
        </is>
      </c>
      <c r="B551" s="12" t="inlineStr">
        <is>
          <t>Medlemsprocent</t>
        </is>
      </c>
      <c r="C551" s="13" t="n">
        <v>0.8120000000000001</v>
      </c>
      <c r="D551" s="13" t="n">
        <v>0.8109929855326611</v>
      </c>
      <c r="E551" s="13" t="n">
        <v>-0.001007014467338974</v>
      </c>
      <c r="F551" s="12" t="inlineStr">
        <is>
          <t>Primær kilde i master er ny tabel, hvis feltet findes dér</t>
        </is>
      </c>
    </row>
    <row r="552">
      <c r="A552" s="12" t="inlineStr">
        <is>
          <t>Norddjurs Provsti</t>
        </is>
      </c>
      <c r="B552" s="12" t="inlineStr">
        <is>
          <t>Kirker</t>
        </is>
      </c>
      <c r="C552" s="13" t="n"/>
      <c r="D552" s="13" t="n">
        <v>43</v>
      </c>
      <c r="E552" s="13" t="n"/>
      <c r="F552" s="12" t="inlineStr">
        <is>
          <t>Mangler i en af kilderne</t>
        </is>
      </c>
    </row>
    <row r="553">
      <c r="A553" s="12" t="inlineStr">
        <is>
          <t>Norddjurs Provsti</t>
        </is>
      </c>
      <c r="B553" s="12" t="inlineStr">
        <is>
          <t>Lokal ligning t.kr.</t>
        </is>
      </c>
      <c r="C553" s="13" t="n"/>
      <c r="D553" s="13" t="n">
        <v>52832.80212188473</v>
      </c>
      <c r="E553" s="13" t="n"/>
      <c r="F553" s="12" t="inlineStr">
        <is>
          <t>Mangler i en af kilderne</t>
        </is>
      </c>
    </row>
    <row r="554">
      <c r="A554" s="12" t="inlineStr">
        <is>
          <t>Norddjurs Provsti</t>
        </is>
      </c>
      <c r="B554" s="12" t="inlineStr">
        <is>
          <t>Maks. stiftsbidrag 1 % (t.kr.)</t>
        </is>
      </c>
      <c r="C554" s="13" t="n"/>
      <c r="D554" s="13" t="n">
        <v>528.3280212188472</v>
      </c>
      <c r="E554" s="13" t="n"/>
      <c r="F554" s="12" t="inlineStr">
        <is>
          <t>Mangler i en af kilderne</t>
        </is>
      </c>
    </row>
    <row r="555">
      <c r="A555" s="12" t="inlineStr">
        <is>
          <t>Odder Provsti</t>
        </is>
      </c>
      <c r="B555" s="12" t="inlineStr">
        <is>
          <t>Indbyggertal</t>
        </is>
      </c>
      <c r="C555" s="13" t="n">
        <v>24288</v>
      </c>
      <c r="D555" s="13" t="n">
        <v>24370</v>
      </c>
      <c r="E555" s="13" t="n">
        <v>82</v>
      </c>
      <c r="F555" s="12" t="inlineStr">
        <is>
          <t>Primær kilde i master er ny tabel, hvis feltet findes dér</t>
        </is>
      </c>
    </row>
    <row r="556">
      <c r="A556" s="12" t="inlineStr">
        <is>
          <t>Odder Provsti</t>
        </is>
      </c>
      <c r="B556" s="12" t="inlineStr">
        <is>
          <t>Folkekirkemedlemmer</t>
        </is>
      </c>
      <c r="C556" s="13" t="n">
        <v>19074</v>
      </c>
      <c r="D556" s="13" t="n">
        <v>19073</v>
      </c>
      <c r="E556" s="13" t="n">
        <v>-1</v>
      </c>
      <c r="F556" s="12" t="inlineStr">
        <is>
          <t>Primær kilde i master er ny tabel, hvis feltet findes dér</t>
        </is>
      </c>
    </row>
    <row r="557">
      <c r="A557" s="12" t="inlineStr">
        <is>
          <t>Odder Provsti</t>
        </is>
      </c>
      <c r="B557" s="12" t="inlineStr">
        <is>
          <t>Medlemsprocent</t>
        </is>
      </c>
      <c r="C557" s="13" t="n">
        <v>0.785</v>
      </c>
      <c r="D557" s="13" t="n">
        <v>0.7826425933524825</v>
      </c>
      <c r="E557" s="13" t="n">
        <v>-0.00235740664751749</v>
      </c>
      <c r="F557" s="12" t="inlineStr">
        <is>
          <t>Primær kilde i master er ny tabel, hvis feltet findes dér</t>
        </is>
      </c>
    </row>
    <row r="558">
      <c r="A558" s="12" t="inlineStr">
        <is>
          <t>Odder Provsti</t>
        </is>
      </c>
      <c r="B558" s="12" t="inlineStr">
        <is>
          <t>Kirker</t>
        </is>
      </c>
      <c r="C558" s="13" t="n"/>
      <c r="D558" s="13" t="n">
        <v>17</v>
      </c>
      <c r="E558" s="13" t="n"/>
      <c r="F558" s="12" t="inlineStr">
        <is>
          <t>Mangler i en af kilderne</t>
        </is>
      </c>
    </row>
    <row r="559">
      <c r="A559" s="12" t="inlineStr">
        <is>
          <t>Odder Provsti</t>
        </is>
      </c>
      <c r="B559" s="12" t="inlineStr">
        <is>
          <t>Lokal ligning t.kr.</t>
        </is>
      </c>
      <c r="C559" s="13" t="n"/>
      <c r="D559" s="13" t="n">
        <v>33643.81286354003</v>
      </c>
      <c r="E559" s="13" t="n"/>
      <c r="F559" s="12" t="inlineStr">
        <is>
          <t>Mangler i en af kilderne</t>
        </is>
      </c>
    </row>
    <row r="560">
      <c r="A560" s="12" t="inlineStr">
        <is>
          <t>Odder Provsti</t>
        </is>
      </c>
      <c r="B560" s="12" t="inlineStr">
        <is>
          <t>Maks. stiftsbidrag 1 % (t.kr.)</t>
        </is>
      </c>
      <c r="C560" s="13" t="n"/>
      <c r="D560" s="13" t="n">
        <v>336.4381286354003</v>
      </c>
      <c r="E560" s="13" t="n"/>
      <c r="F560" s="12" t="inlineStr">
        <is>
          <t>Mangler i en af kilderne</t>
        </is>
      </c>
    </row>
    <row r="561">
      <c r="A561" s="12" t="inlineStr">
        <is>
          <t>Randers Nordre Provsti</t>
        </is>
      </c>
      <c r="B561" s="12" t="inlineStr">
        <is>
          <t>Indbyggertal</t>
        </is>
      </c>
      <c r="C561" s="13" t="n">
        <v>44133</v>
      </c>
      <c r="D561" s="13" t="n">
        <v>44165</v>
      </c>
      <c r="E561" s="13" t="n">
        <v>32</v>
      </c>
      <c r="F561" s="12" t="inlineStr">
        <is>
          <t>Primær kilde i master er ny tabel, hvis feltet findes dér</t>
        </is>
      </c>
    </row>
    <row r="562">
      <c r="A562" s="12" t="inlineStr">
        <is>
          <t>Randers Nordre Provsti</t>
        </is>
      </c>
      <c r="B562" s="12" t="inlineStr">
        <is>
          <t>Folkekirkemedlemmer</t>
        </is>
      </c>
      <c r="C562" s="13" t="n">
        <v>34038</v>
      </c>
      <c r="D562" s="13" t="n">
        <v>34002</v>
      </c>
      <c r="E562" s="13" t="n">
        <v>-36</v>
      </c>
      <c r="F562" s="12" t="inlineStr">
        <is>
          <t>Primær kilde i master er ny tabel, hvis feltet findes dér</t>
        </is>
      </c>
    </row>
    <row r="563">
      <c r="A563" s="12" t="inlineStr">
        <is>
          <t>Randers Nordre Provsti</t>
        </is>
      </c>
      <c r="B563" s="12" t="inlineStr">
        <is>
          <t>Medlemsprocent</t>
        </is>
      </c>
      <c r="C563" s="13" t="n">
        <v>0.7709999999999999</v>
      </c>
      <c r="D563" s="13" t="n">
        <v>0.7698856560624929</v>
      </c>
      <c r="E563" s="13" t="n">
        <v>-0.001114343937506979</v>
      </c>
      <c r="F563" s="12" t="inlineStr">
        <is>
          <t>Primær kilde i master er ny tabel, hvis feltet findes dér</t>
        </is>
      </c>
    </row>
    <row r="564">
      <c r="A564" s="12" t="inlineStr">
        <is>
          <t>Randers Nordre Provsti</t>
        </is>
      </c>
      <c r="B564" s="12" t="inlineStr">
        <is>
          <t>Kirker</t>
        </is>
      </c>
      <c r="C564" s="13" t="n"/>
      <c r="D564" s="13" t="n">
        <v>38</v>
      </c>
      <c r="E564" s="13" t="n"/>
      <c r="F564" s="12" t="inlineStr">
        <is>
          <t>Mangler i en af kilderne</t>
        </is>
      </c>
    </row>
    <row r="565">
      <c r="A565" s="12" t="inlineStr">
        <is>
          <t>Randers Nordre Provsti</t>
        </is>
      </c>
      <c r="B565" s="12" t="inlineStr">
        <is>
          <t>Maks. stiftsbidrag 1 % (t.kr.)</t>
        </is>
      </c>
      <c r="C565" s="13" t="n"/>
      <c r="D565" s="13" t="n">
        <v>0</v>
      </c>
      <c r="E565" s="13" t="n"/>
      <c r="F565" s="12" t="inlineStr">
        <is>
          <t>Mangler i en af kilderne</t>
        </is>
      </c>
    </row>
    <row r="566">
      <c r="A566" s="12" t="inlineStr">
        <is>
          <t>Randers Søndre Provsti</t>
        </is>
      </c>
      <c r="B566" s="12" t="inlineStr">
        <is>
          <t>Indbyggertal</t>
        </is>
      </c>
      <c r="C566" s="13" t="n">
        <v>56434</v>
      </c>
      <c r="D566" s="13" t="n">
        <v>56503</v>
      </c>
      <c r="E566" s="13" t="n">
        <v>69</v>
      </c>
      <c r="F566" s="12" t="inlineStr">
        <is>
          <t>Primær kilde i master er ny tabel, hvis feltet findes dér</t>
        </is>
      </c>
    </row>
    <row r="567">
      <c r="A567" s="12" t="inlineStr">
        <is>
          <t>Randers Søndre Provsti</t>
        </is>
      </c>
      <c r="B567" s="12" t="inlineStr">
        <is>
          <t>Folkekirkemedlemmer</t>
        </is>
      </c>
      <c r="C567" s="13" t="n">
        <v>45469</v>
      </c>
      <c r="D567" s="13" t="n">
        <v>45450</v>
      </c>
      <c r="E567" s="13" t="n">
        <v>-19</v>
      </c>
      <c r="F567" s="12" t="inlineStr">
        <is>
          <t>Primær kilde i master er ny tabel, hvis feltet findes dér</t>
        </is>
      </c>
    </row>
    <row r="568">
      <c r="A568" s="12" t="inlineStr">
        <is>
          <t>Randers Søndre Provsti</t>
        </is>
      </c>
      <c r="B568" s="12" t="inlineStr">
        <is>
          <t>Medlemsprocent</t>
        </is>
      </c>
      <c r="C568" s="13" t="n">
        <v>0.8059999999999999</v>
      </c>
      <c r="D568" s="13" t="n">
        <v>0.8043820682087677</v>
      </c>
      <c r="E568" s="13" t="n">
        <v>-0.001617931791232263</v>
      </c>
      <c r="F568" s="12" t="inlineStr">
        <is>
          <t>Primær kilde i master er ny tabel, hvis feltet findes dér</t>
        </is>
      </c>
    </row>
    <row r="569">
      <c r="A569" s="12" t="inlineStr">
        <is>
          <t>Randers Søndre Provsti</t>
        </is>
      </c>
      <c r="B569" s="12" t="inlineStr">
        <is>
          <t>Kirker</t>
        </is>
      </c>
      <c r="C569" s="13" t="n"/>
      <c r="D569" s="13" t="n">
        <v>26</v>
      </c>
      <c r="E569" s="13" t="n"/>
      <c r="F569" s="12" t="inlineStr">
        <is>
          <t>Mangler i en af kilderne</t>
        </is>
      </c>
    </row>
    <row r="570">
      <c r="A570" s="12" t="inlineStr">
        <is>
          <t>Randers Søndre Provsti</t>
        </is>
      </c>
      <c r="B570" s="12" t="inlineStr">
        <is>
          <t>Lokal ligning t.kr.</t>
        </is>
      </c>
      <c r="C570" s="13" t="n"/>
      <c r="D570" s="13" t="n">
        <v>125551.3295470545</v>
      </c>
      <c r="E570" s="13" t="n"/>
      <c r="F570" s="12" t="inlineStr">
        <is>
          <t>Mangler i en af kilderne</t>
        </is>
      </c>
    </row>
    <row r="571">
      <c r="A571" s="12" t="inlineStr">
        <is>
          <t>Randers Søndre Provsti</t>
        </is>
      </c>
      <c r="B571" s="12" t="inlineStr">
        <is>
          <t>Maks. stiftsbidrag 1 % (t.kr.)</t>
        </is>
      </c>
      <c r="C571" s="13" t="n"/>
      <c r="D571" s="13" t="n">
        <v>1255.513295470545</v>
      </c>
      <c r="E571" s="13" t="n"/>
      <c r="F571" s="12" t="inlineStr">
        <is>
          <t>Mangler i en af kilderne</t>
        </is>
      </c>
    </row>
    <row r="572">
      <c r="A572" s="12" t="inlineStr">
        <is>
          <t>Silkeborg Provsti</t>
        </is>
      </c>
      <c r="B572" s="12" t="inlineStr">
        <is>
          <t>Indbyggertal</t>
        </is>
      </c>
      <c r="C572" s="13" t="n">
        <v>88413</v>
      </c>
      <c r="D572" s="13" t="n">
        <v>88676</v>
      </c>
      <c r="E572" s="13" t="n">
        <v>263</v>
      </c>
      <c r="F572" s="12" t="inlineStr">
        <is>
          <t>Primær kilde i master er ny tabel, hvis feltet findes dér</t>
        </is>
      </c>
    </row>
    <row r="573">
      <c r="A573" s="12" t="inlineStr">
        <is>
          <t>Silkeborg Provsti</t>
        </is>
      </c>
      <c r="B573" s="12" t="inlineStr">
        <is>
          <t>Folkekirkemedlemmer</t>
        </is>
      </c>
      <c r="C573" s="13" t="n">
        <v>68847</v>
      </c>
      <c r="D573" s="13" t="n">
        <v>68967</v>
      </c>
      <c r="E573" s="13" t="n">
        <v>120</v>
      </c>
      <c r="F573" s="12" t="inlineStr">
        <is>
          <t>Primær kilde i master er ny tabel, hvis feltet findes dér</t>
        </is>
      </c>
    </row>
    <row r="574">
      <c r="A574" s="12" t="inlineStr">
        <is>
          <t>Silkeborg Provsti</t>
        </is>
      </c>
      <c r="B574" s="12" t="inlineStr">
        <is>
          <t>Medlemsprocent</t>
        </is>
      </c>
      <c r="C574" s="13" t="n">
        <v>0.779</v>
      </c>
      <c r="D574" s="13" t="n">
        <v>0.7777414407505977</v>
      </c>
      <c r="E574" s="13" t="n">
        <v>-0.001258559249402325</v>
      </c>
      <c r="F574" s="12" t="inlineStr">
        <is>
          <t>Primær kilde i master er ny tabel, hvis feltet findes dér</t>
        </is>
      </c>
    </row>
    <row r="575">
      <c r="A575" s="12" t="inlineStr">
        <is>
          <t>Silkeborg Provsti</t>
        </is>
      </c>
      <c r="B575" s="12" t="inlineStr">
        <is>
          <t>Kirker</t>
        </is>
      </c>
      <c r="C575" s="13" t="n"/>
      <c r="D575" s="13" t="n">
        <v>30</v>
      </c>
      <c r="E575" s="13" t="n"/>
      <c r="F575" s="12" t="inlineStr">
        <is>
          <t>Mangler i en af kilderne</t>
        </is>
      </c>
    </row>
    <row r="576">
      <c r="A576" s="12" t="inlineStr">
        <is>
          <t>Silkeborg Provsti</t>
        </is>
      </c>
      <c r="B576" s="12" t="inlineStr">
        <is>
          <t>Lokal ligning t.kr.</t>
        </is>
      </c>
      <c r="C576" s="13" t="n"/>
      <c r="D576" s="13" t="n">
        <v>141813.0747712486</v>
      </c>
      <c r="E576" s="13" t="n"/>
      <c r="F576" s="12" t="inlineStr">
        <is>
          <t>Mangler i en af kilderne</t>
        </is>
      </c>
    </row>
    <row r="577">
      <c r="A577" s="12" t="inlineStr">
        <is>
          <t>Silkeborg Provsti</t>
        </is>
      </c>
      <c r="B577" s="12" t="inlineStr">
        <is>
          <t>Maks. stiftsbidrag 1 % (t.kr.)</t>
        </is>
      </c>
      <c r="C577" s="13" t="n"/>
      <c r="D577" s="13" t="n">
        <v>1418.130747712486</v>
      </c>
      <c r="E577" s="13" t="n"/>
      <c r="F577" s="12" t="inlineStr">
        <is>
          <t>Mangler i en af kilderne</t>
        </is>
      </c>
    </row>
    <row r="578">
      <c r="A578" s="12" t="inlineStr">
        <is>
          <t>Skanderborg Provsti</t>
        </is>
      </c>
      <c r="B578" s="12" t="inlineStr">
        <is>
          <t>Indbyggertal</t>
        </is>
      </c>
      <c r="C578" s="13" t="n">
        <v>66106</v>
      </c>
      <c r="D578" s="13" t="n">
        <v>66243</v>
      </c>
      <c r="E578" s="13" t="n">
        <v>137</v>
      </c>
      <c r="F578" s="12" t="inlineStr">
        <is>
          <t>Primær kilde i master er ny tabel, hvis feltet findes dér</t>
        </is>
      </c>
    </row>
    <row r="579">
      <c r="A579" s="12" t="inlineStr">
        <is>
          <t>Skanderborg Provsti</t>
        </is>
      </c>
      <c r="B579" s="12" t="inlineStr">
        <is>
          <t>Folkekirkemedlemmer</t>
        </is>
      </c>
      <c r="C579" s="13" t="n">
        <v>52368</v>
      </c>
      <c r="D579" s="13" t="n">
        <v>52414</v>
      </c>
      <c r="E579" s="13" t="n">
        <v>46</v>
      </c>
      <c r="F579" s="12" t="inlineStr">
        <is>
          <t>Primær kilde i master er ny tabel, hvis feltet findes dér</t>
        </is>
      </c>
    </row>
    <row r="580">
      <c r="A580" s="12" t="inlineStr">
        <is>
          <t>Skanderborg Provsti</t>
        </is>
      </c>
      <c r="B580" s="12" t="inlineStr">
        <is>
          <t>Medlemsprocent</t>
        </is>
      </c>
      <c r="C580" s="13" t="n">
        <v>0.792</v>
      </c>
      <c r="D580" s="13" t="n">
        <v>0.7912383195205531</v>
      </c>
      <c r="E580" s="13" t="n">
        <v>-0.0007616804794469134</v>
      </c>
      <c r="F580" s="12" t="inlineStr">
        <is>
          <t>Primær kilde i master er ny tabel, hvis feltet findes dér</t>
        </is>
      </c>
    </row>
    <row r="581">
      <c r="A581" s="12" t="inlineStr">
        <is>
          <t>Skanderborg Provsti</t>
        </is>
      </c>
      <c r="B581" s="12" t="inlineStr">
        <is>
          <t>Kirker</t>
        </is>
      </c>
      <c r="C581" s="13" t="n"/>
      <c r="D581" s="13" t="n">
        <v>31</v>
      </c>
      <c r="E581" s="13" t="n"/>
      <c r="F581" s="12" t="inlineStr">
        <is>
          <t>Mangler i en af kilderne</t>
        </is>
      </c>
    </row>
    <row r="582">
      <c r="A582" s="12" t="inlineStr">
        <is>
          <t>Skanderborg Provsti</t>
        </is>
      </c>
      <c r="B582" s="12" t="inlineStr">
        <is>
          <t>Lokal ligning t.kr.</t>
        </is>
      </c>
      <c r="C582" s="13" t="n"/>
      <c r="D582" s="13" t="n">
        <v>86652.09829020074</v>
      </c>
      <c r="E582" s="13" t="n"/>
      <c r="F582" s="12" t="inlineStr">
        <is>
          <t>Mangler i en af kilderne</t>
        </is>
      </c>
    </row>
    <row r="583">
      <c r="A583" s="12" t="inlineStr">
        <is>
          <t>Skanderborg Provsti</t>
        </is>
      </c>
      <c r="B583" s="12" t="inlineStr">
        <is>
          <t>Maks. stiftsbidrag 1 % (t.kr.)</t>
        </is>
      </c>
      <c r="C583" s="13" t="n"/>
      <c r="D583" s="13" t="n">
        <v>866.5209829020074</v>
      </c>
      <c r="E583" s="13" t="n"/>
      <c r="F583" s="12" t="inlineStr">
        <is>
          <t>Mangler i en af kilderne</t>
        </is>
      </c>
    </row>
    <row r="584">
      <c r="A584" s="12" t="inlineStr">
        <is>
          <t>Syddjurs Provsti</t>
        </is>
      </c>
      <c r="B584" s="12" t="inlineStr">
        <is>
          <t>Indbyggertal</t>
        </is>
      </c>
      <c r="C584" s="13" t="n">
        <v>44394</v>
      </c>
      <c r="D584" s="13" t="n">
        <v>44518</v>
      </c>
      <c r="E584" s="13" t="n">
        <v>124</v>
      </c>
      <c r="F584" s="12" t="inlineStr">
        <is>
          <t>Primær kilde i master er ny tabel, hvis feltet findes dér</t>
        </is>
      </c>
    </row>
    <row r="585">
      <c r="A585" s="12" t="inlineStr">
        <is>
          <t>Syddjurs Provsti</t>
        </is>
      </c>
      <c r="B585" s="12" t="inlineStr">
        <is>
          <t>Folkekirkemedlemmer</t>
        </is>
      </c>
      <c r="C585" s="13" t="n">
        <v>34857</v>
      </c>
      <c r="D585" s="13" t="n">
        <v>34869</v>
      </c>
      <c r="E585" s="13" t="n">
        <v>12</v>
      </c>
      <c r="F585" s="12" t="inlineStr">
        <is>
          <t>Primær kilde i master er ny tabel, hvis feltet findes dér</t>
        </is>
      </c>
    </row>
    <row r="586">
      <c r="A586" s="12" t="inlineStr">
        <is>
          <t>Syddjurs Provsti</t>
        </is>
      </c>
      <c r="B586" s="12" t="inlineStr">
        <is>
          <t>Medlemsprocent</t>
        </is>
      </c>
      <c r="C586" s="13" t="n">
        <v>0.785</v>
      </c>
      <c r="D586" s="13" t="n">
        <v>0.7832562109708433</v>
      </c>
      <c r="E586" s="13" t="n">
        <v>-0.001743789029156728</v>
      </c>
      <c r="F586" s="12" t="inlineStr">
        <is>
          <t>Primær kilde i master er ny tabel, hvis feltet findes dér</t>
        </is>
      </c>
    </row>
    <row r="587">
      <c r="A587" s="12" t="inlineStr">
        <is>
          <t>Syddjurs Provsti</t>
        </is>
      </c>
      <c r="B587" s="12" t="inlineStr">
        <is>
          <t>Kirker</t>
        </is>
      </c>
      <c r="C587" s="13" t="n"/>
      <c r="D587" s="13" t="n">
        <v>38</v>
      </c>
      <c r="E587" s="13" t="n"/>
      <c r="F587" s="12" t="inlineStr">
        <is>
          <t>Mangler i en af kilderne</t>
        </is>
      </c>
    </row>
    <row r="588">
      <c r="A588" s="12" t="inlineStr">
        <is>
          <t>Syddjurs Provsti</t>
        </is>
      </c>
      <c r="B588" s="12" t="inlineStr">
        <is>
          <t>Lokal ligning t.kr.</t>
        </is>
      </c>
      <c r="C588" s="13" t="n"/>
      <c r="D588" s="13" t="n">
        <v>63484.50828478913</v>
      </c>
      <c r="E588" s="13" t="n"/>
      <c r="F588" s="12" t="inlineStr">
        <is>
          <t>Mangler i en af kilderne</t>
        </is>
      </c>
    </row>
    <row r="589">
      <c r="A589" s="12" t="inlineStr">
        <is>
          <t>Syddjurs Provsti</t>
        </is>
      </c>
      <c r="B589" s="12" t="inlineStr">
        <is>
          <t>Maks. stiftsbidrag 1 % (t.kr.)</t>
        </is>
      </c>
      <c r="C589" s="13" t="n"/>
      <c r="D589" s="13" t="n">
        <v>634.8450828478913</v>
      </c>
      <c r="E589" s="13" t="n"/>
      <c r="F589" s="12" t="inlineStr">
        <is>
          <t>Mangler i en af kilderne</t>
        </is>
      </c>
    </row>
    <row r="590">
      <c r="A590" s="12" t="inlineStr">
        <is>
          <t>Aarhus Domprovsti</t>
        </is>
      </c>
      <c r="B590" s="12" t="inlineStr">
        <is>
          <t>Indbyggertal</t>
        </is>
      </c>
      <c r="C590" s="13" t="n">
        <v>112608</v>
      </c>
      <c r="D590" s="13" t="n">
        <v>112583</v>
      </c>
      <c r="E590" s="13" t="n">
        <v>-25</v>
      </c>
      <c r="F590" s="12" t="inlineStr">
        <is>
          <t>Primær kilde i master er ny tabel, hvis feltet findes dér</t>
        </is>
      </c>
    </row>
    <row r="591">
      <c r="A591" s="12" t="inlineStr">
        <is>
          <t>Aarhus Domprovsti</t>
        </is>
      </c>
      <c r="B591" s="12" t="inlineStr">
        <is>
          <t>Folkekirkemedlemmer</t>
        </is>
      </c>
      <c r="C591" s="13" t="n">
        <v>82356</v>
      </c>
      <c r="D591" s="13" t="n">
        <v>82342</v>
      </c>
      <c r="E591" s="13" t="n">
        <v>-14</v>
      </c>
      <c r="F591" s="12" t="inlineStr">
        <is>
          <t>Primær kilde i master er ny tabel, hvis feltet findes dér</t>
        </is>
      </c>
    </row>
    <row r="592">
      <c r="A592" s="12" t="inlineStr">
        <is>
          <t>Aarhus Domprovsti</t>
        </is>
      </c>
      <c r="B592" s="12" t="inlineStr">
        <is>
          <t>Medlemsprocent</t>
        </is>
      </c>
      <c r="C592" s="13" t="n">
        <v>0.731</v>
      </c>
      <c r="D592" s="13" t="n">
        <v>0.7313892861266799</v>
      </c>
      <c r="E592" s="13" t="n">
        <v>0.0003892861266798775</v>
      </c>
      <c r="F592" s="12" t="inlineStr">
        <is>
          <t>Primær kilde i master er ny tabel, hvis feltet findes dér</t>
        </is>
      </c>
    </row>
    <row r="593">
      <c r="A593" s="12" t="inlineStr">
        <is>
          <t>Aarhus Domprovsti</t>
        </is>
      </c>
      <c r="B593" s="12" t="inlineStr">
        <is>
          <t>Kirker</t>
        </is>
      </c>
      <c r="C593" s="13" t="n"/>
      <c r="D593" s="13" t="n">
        <v>21</v>
      </c>
      <c r="E593" s="13" t="n"/>
      <c r="F593" s="12" t="inlineStr">
        <is>
          <t>Mangler i en af kilderne</t>
        </is>
      </c>
    </row>
    <row r="594">
      <c r="A594" s="12" t="inlineStr">
        <is>
          <t>Aarhus Domprovsti</t>
        </is>
      </c>
      <c r="B594" s="12" t="inlineStr">
        <is>
          <t>Lokal ligning t.kr.</t>
        </is>
      </c>
      <c r="C594" s="13" t="n"/>
      <c r="D594" s="13" t="n">
        <v>361945.4322630175</v>
      </c>
      <c r="E594" s="13" t="n"/>
      <c r="F594" s="12" t="inlineStr">
        <is>
          <t>Mangler i en af kilderne</t>
        </is>
      </c>
    </row>
    <row r="595">
      <c r="A595" s="12" t="inlineStr">
        <is>
          <t>Aarhus Domprovsti</t>
        </is>
      </c>
      <c r="B595" s="12" t="inlineStr">
        <is>
          <t>Maks. stiftsbidrag 1 % (t.kr.)</t>
        </is>
      </c>
      <c r="C595" s="13" t="n"/>
      <c r="D595" s="13" t="n">
        <v>3619.454322630175</v>
      </c>
      <c r="E595" s="13" t="n"/>
      <c r="F595" s="12" t="inlineStr">
        <is>
          <t>Mangler i en af kilderne</t>
        </is>
      </c>
    </row>
    <row r="596">
      <c r="A596" s="12" t="inlineStr">
        <is>
          <t>Aarhus Nordre Provsti</t>
        </is>
      </c>
      <c r="B596" s="12" t="inlineStr">
        <is>
          <t>Indbyggertal</t>
        </is>
      </c>
      <c r="C596" s="13" t="n">
        <v>89037</v>
      </c>
      <c r="D596" s="13" t="n">
        <v>89211</v>
      </c>
      <c r="E596" s="13" t="n">
        <v>174</v>
      </c>
      <c r="F596" s="12" t="inlineStr">
        <is>
          <t>Primær kilde i master er ny tabel, hvis feltet findes dér</t>
        </is>
      </c>
    </row>
    <row r="597">
      <c r="A597" s="12" t="inlineStr">
        <is>
          <t>Aarhus Nordre Provsti</t>
        </is>
      </c>
      <c r="B597" s="12" t="inlineStr">
        <is>
          <t>Folkekirkemedlemmer</t>
        </is>
      </c>
      <c r="C597" s="13" t="n">
        <v>64153</v>
      </c>
      <c r="D597" s="13" t="n">
        <v>64096</v>
      </c>
      <c r="E597" s="13" t="n">
        <v>-57</v>
      </c>
      <c r="F597" s="12" t="inlineStr">
        <is>
          <t>Primær kilde i master er ny tabel, hvis feltet findes dér</t>
        </is>
      </c>
    </row>
    <row r="598">
      <c r="A598" s="12" t="inlineStr">
        <is>
          <t>Aarhus Nordre Provsti</t>
        </is>
      </c>
      <c r="B598" s="12" t="inlineStr">
        <is>
          <t>Medlemsprocent</t>
        </is>
      </c>
      <c r="C598" s="13" t="n">
        <v>0.721</v>
      </c>
      <c r="D598" s="13" t="n">
        <v>0.7184764210691507</v>
      </c>
      <c r="E598" s="13" t="n">
        <v>-0.002523578930849313</v>
      </c>
      <c r="F598" s="12" t="inlineStr">
        <is>
          <t>Primær kilde i master er ny tabel, hvis feltet findes dér</t>
        </is>
      </c>
    </row>
    <row r="599">
      <c r="A599" s="12" t="inlineStr">
        <is>
          <t>Aarhus Nordre Provsti</t>
        </is>
      </c>
      <c r="B599" s="12" t="inlineStr">
        <is>
          <t>Kirker</t>
        </is>
      </c>
      <c r="C599" s="13" t="n"/>
      <c r="D599" s="13" t="n">
        <v>21</v>
      </c>
      <c r="E599" s="13" t="n"/>
      <c r="F599" s="12" t="inlineStr">
        <is>
          <t>Mangler i en af kilderne</t>
        </is>
      </c>
    </row>
    <row r="600">
      <c r="A600" s="12" t="inlineStr">
        <is>
          <t>Aarhus Nordre Provsti</t>
        </is>
      </c>
      <c r="B600" s="12" t="inlineStr">
        <is>
          <t>Maks. stiftsbidrag 1 % (t.kr.)</t>
        </is>
      </c>
      <c r="C600" s="13" t="n"/>
      <c r="D600" s="13" t="n">
        <v>0</v>
      </c>
      <c r="E600" s="13" t="n"/>
      <c r="F600" s="12" t="inlineStr">
        <is>
          <t>Mangler i en af kilderne</t>
        </is>
      </c>
    </row>
    <row r="601">
      <c r="A601" s="12" t="inlineStr">
        <is>
          <t>Aarhus Søndre Provsti</t>
        </is>
      </c>
      <c r="B601" s="12" t="inlineStr">
        <is>
          <t>Indbyggertal</t>
        </is>
      </c>
      <c r="C601" s="13" t="n">
        <v>93042</v>
      </c>
      <c r="D601" s="13" t="n">
        <v>92819</v>
      </c>
      <c r="E601" s="13" t="n">
        <v>-223</v>
      </c>
      <c r="F601" s="12" t="inlineStr">
        <is>
          <t>Primær kilde i master er ny tabel, hvis feltet findes dér</t>
        </is>
      </c>
    </row>
    <row r="602">
      <c r="A602" s="12" t="inlineStr">
        <is>
          <t>Aarhus Søndre Provsti</t>
        </is>
      </c>
      <c r="B602" s="12" t="inlineStr">
        <is>
          <t>Folkekirkemedlemmer</t>
        </is>
      </c>
      <c r="C602" s="13" t="n">
        <v>64181</v>
      </c>
      <c r="D602" s="13" t="n">
        <v>63969</v>
      </c>
      <c r="E602" s="13" t="n">
        <v>-212</v>
      </c>
      <c r="F602" s="12" t="inlineStr">
        <is>
          <t>Primær kilde i master er ny tabel, hvis feltet findes dér</t>
        </is>
      </c>
    </row>
    <row r="603">
      <c r="A603" s="12" t="inlineStr">
        <is>
          <t>Aarhus Søndre Provsti</t>
        </is>
      </c>
      <c r="B603" s="12" t="inlineStr">
        <is>
          <t>Medlemsprocent</t>
        </is>
      </c>
      <c r="C603" s="13" t="n">
        <v>0.6899999999999999</v>
      </c>
      <c r="D603" s="13" t="n">
        <v>0.6891800170223769</v>
      </c>
      <c r="E603" s="13" t="n">
        <v>-0.0008199829776230905</v>
      </c>
      <c r="F603" s="12" t="inlineStr">
        <is>
          <t>Primær kilde i master er ny tabel, hvis feltet findes dér</t>
        </is>
      </c>
    </row>
    <row r="604">
      <c r="A604" s="12" t="inlineStr">
        <is>
          <t>Aarhus Søndre Provsti</t>
        </is>
      </c>
      <c r="B604" s="12" t="inlineStr">
        <is>
          <t>Kirker</t>
        </is>
      </c>
      <c r="C604" s="13" t="n"/>
      <c r="D604" s="13" t="n">
        <v>20</v>
      </c>
      <c r="E604" s="13" t="n"/>
      <c r="F604" s="12" t="inlineStr">
        <is>
          <t>Mangler i en af kilderne</t>
        </is>
      </c>
    </row>
    <row r="605">
      <c r="A605" s="12" t="inlineStr">
        <is>
          <t>Aarhus Søndre Provsti</t>
        </is>
      </c>
      <c r="B605" s="12" t="inlineStr">
        <is>
          <t>Maks. stiftsbidrag 1 % (t.kr.)</t>
        </is>
      </c>
      <c r="C605" s="13" t="n"/>
      <c r="D605" s="13" t="n">
        <v>0</v>
      </c>
      <c r="E605" s="13" t="n"/>
      <c r="F605" s="12" t="inlineStr">
        <is>
          <t>Mangler i en af kilderne</t>
        </is>
      </c>
    </row>
    <row r="606">
      <c r="A606" s="12" t="inlineStr">
        <is>
          <t>Aarhus Vestre Provsti</t>
        </is>
      </c>
      <c r="B606" s="12" t="inlineStr">
        <is>
          <t>Indbyggertal</t>
        </is>
      </c>
      <c r="C606" s="13" t="n">
        <v>87559</v>
      </c>
      <c r="D606" s="13" t="n">
        <v>87568</v>
      </c>
      <c r="E606" s="13" t="n">
        <v>9</v>
      </c>
      <c r="F606" s="12" t="inlineStr">
        <is>
          <t>Primær kilde i master er ny tabel, hvis feltet findes dér</t>
        </is>
      </c>
    </row>
    <row r="607">
      <c r="A607" s="12" t="inlineStr">
        <is>
          <t>Aarhus Vestre Provsti</t>
        </is>
      </c>
      <c r="B607" s="12" t="inlineStr">
        <is>
          <t>Folkekirkemedlemmer</t>
        </is>
      </c>
      <c r="C607" s="13" t="n">
        <v>46496</v>
      </c>
      <c r="D607" s="13" t="n">
        <v>46298</v>
      </c>
      <c r="E607" s="13" t="n">
        <v>-198</v>
      </c>
      <c r="F607" s="12" t="inlineStr">
        <is>
          <t>Primær kilde i master er ny tabel, hvis feltet findes dér</t>
        </is>
      </c>
    </row>
    <row r="608">
      <c r="A608" s="12" t="inlineStr">
        <is>
          <t>Aarhus Vestre Provsti</t>
        </is>
      </c>
      <c r="B608" s="12" t="inlineStr">
        <is>
          <t>Medlemsprocent</t>
        </is>
      </c>
      <c r="C608" s="13" t="n">
        <v>0.531</v>
      </c>
      <c r="D608" s="13" t="n">
        <v>0.5287091174858396</v>
      </c>
      <c r="E608" s="13" t="n">
        <v>-0.002290882514160431</v>
      </c>
      <c r="F608" s="12" t="inlineStr">
        <is>
          <t>Primær kilde i master er ny tabel, hvis feltet findes dér</t>
        </is>
      </c>
    </row>
    <row r="609">
      <c r="A609" s="12" t="inlineStr">
        <is>
          <t>Aarhus Vestre Provsti</t>
        </is>
      </c>
      <c r="B609" s="12" t="inlineStr">
        <is>
          <t>Kirker</t>
        </is>
      </c>
      <c r="C609" s="13" t="n"/>
      <c r="D609" s="13" t="n">
        <v>21</v>
      </c>
      <c r="E609" s="13" t="n"/>
      <c r="F609" s="12" t="inlineStr">
        <is>
          <t>Mangler i en af kilderne</t>
        </is>
      </c>
    </row>
    <row r="610">
      <c r="A610" s="12" t="inlineStr">
        <is>
          <t>Aarhus Vestre Provsti</t>
        </is>
      </c>
      <c r="B610" s="12" t="inlineStr">
        <is>
          <t>Maks. stiftsbidrag 1 % (t.kr.)</t>
        </is>
      </c>
      <c r="C610" s="13" t="n"/>
      <c r="D610" s="13" t="n">
        <v>0</v>
      </c>
      <c r="E610" s="13" t="n"/>
      <c r="F610" s="12" t="inlineStr">
        <is>
          <t>Mangler i en af kilderne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45" customWidth="1" min="3" max="3"/>
    <col width="80" customWidth="1" min="4" max="4"/>
  </cols>
  <sheetData>
    <row r="1">
      <c r="A1" s="11" t="inlineStr">
        <is>
          <t>Felt/område</t>
        </is>
      </c>
      <c r="B1" s="11" t="inlineStr">
        <is>
          <t>Primær kilde</t>
        </is>
      </c>
      <c r="C1" s="11" t="inlineStr">
        <is>
          <t>Supplerende kilde</t>
        </is>
      </c>
      <c r="D1" s="11" t="inlineStr">
        <is>
          <t>Bemærkning</t>
        </is>
      </c>
    </row>
    <row r="2">
      <c r="A2" s="12" t="inlineStr">
        <is>
          <t>Befolkning, medlemmer, ikke-medlemmer, medlemsprocent</t>
        </is>
      </c>
      <c r="B2" s="12" t="inlineStr">
        <is>
          <t>Kopi af Tabel vedr. stifter og provstier slut torsdag.xlsx / fanen Tabel</t>
        </is>
      </c>
      <c r="C2" s="12" t="inlineStr"/>
      <c r="D2" s="12" t="inlineStr">
        <is>
          <t>Opgørelsen afviger marginalt fra tidligere app-data pga. opgørelsestidspunkt.</t>
        </is>
      </c>
    </row>
    <row r="3">
      <c r="A3" s="12" t="inlineStr">
        <is>
          <t>Lokal ligning og maks. stiftsbidrag</t>
        </is>
      </c>
      <c r="B3" s="12" t="inlineStr">
        <is>
          <t>Kopi af Tabel vedr. stifter og provstier slut torsdag.xlsx / fanen Tabel</t>
        </is>
      </c>
      <c r="C3" s="12" t="inlineStr"/>
      <c r="D3" s="12" t="inlineStr">
        <is>
          <t>Beløb er indlæst som t.kr. i masterfilen af hensyn til appens eksisterende format.</t>
        </is>
      </c>
    </row>
    <row r="4">
      <c r="A4" s="12" t="inlineStr">
        <is>
          <t>Menighedsråd, pastorater, kirker</t>
        </is>
      </c>
      <c r="B4" s="12" t="inlineStr">
        <is>
          <t>Kopi af Tabel vedr. stifter og provstier slut torsdag.xlsx / fanen Tabel</t>
        </is>
      </c>
      <c r="C4" s="12" t="inlineStr"/>
      <c r="D4" s="12" t="inlineStr">
        <is>
          <t>Kirker er angivet som kirker inkl. kapeller, også kommunale.</t>
        </is>
      </c>
    </row>
    <row r="5">
      <c r="A5" s="12" t="inlineStr">
        <is>
          <t>Præster inkl. LOFI</t>
        </is>
      </c>
      <c r="B5" s="12" t="inlineStr">
        <is>
          <t>Kopi af Tabel vedr. stifter og provstier slut torsdag.xlsx / fanen Tabel</t>
        </is>
      </c>
      <c r="C5" s="12" t="inlineStr">
        <is>
          <t>Bilag 2 – Forslaget i tal</t>
        </is>
      </c>
      <c r="D5" s="12" t="inlineStr">
        <is>
          <t>LOFI = lokalt finansierede præstestillinger. Legacy-kolonnen "Præsteårsværk inkl. LOFI" er bevaret af hensyn til app-kompatibilitet, men bør senere omdøbes i appen.</t>
        </is>
      </c>
    </row>
    <row r="6">
      <c r="A6" s="12" t="inlineStr">
        <is>
          <t>Sogne</t>
        </is>
      </c>
      <c r="B6" s="12" t="inlineStr">
        <is>
          <t>Tidligere app-datasæt baseret på provsti.dk-data</t>
        </is>
      </c>
      <c r="C6" s="12" t="inlineStr"/>
      <c r="D6" s="12" t="inlineStr">
        <is>
          <t>Ikke i den nye tabel.</t>
        </is>
      </c>
    </row>
    <row r="7">
      <c r="A7" s="12" t="inlineStr">
        <is>
          <t>Sognepræster</t>
        </is>
      </c>
      <c r="B7" s="12" t="inlineStr">
        <is>
          <t>Tidligere app-datasæt baseret på provsti.dk-data</t>
        </is>
      </c>
      <c r="C7" s="12" t="inlineStr"/>
      <c r="D7" s="12" t="inlineStr">
        <is>
          <t>Ikke i den nye tabel.</t>
        </is>
      </c>
    </row>
    <row r="8">
      <c r="A8" s="12" t="inlineStr">
        <is>
          <t>Overenskomstansatte sognepræster</t>
        </is>
      </c>
      <c r="B8" s="12" t="inlineStr">
        <is>
          <t>Tidligere app-datasæt baseret på provsti.dk-data</t>
        </is>
      </c>
      <c r="C8" s="12" t="inlineStr"/>
      <c r="D8" s="12" t="inlineStr">
        <is>
          <t>Ikke i den nye tabel.</t>
        </is>
      </c>
    </row>
    <row r="9">
      <c r="A9" s="12" t="inlineStr">
        <is>
          <t>Præster i alt</t>
        </is>
      </c>
      <c r="B9" s="12" t="inlineStr">
        <is>
          <t>Tidligere app-datasæt baseret på provsti.dk-data</t>
        </is>
      </c>
      <c r="C9" s="12" t="inlineStr"/>
      <c r="D9" s="12" t="inlineStr">
        <is>
          <t>Sognepræster + overenskomstansatte sognepræster i tidligere data.</t>
        </is>
      </c>
    </row>
    <row r="10">
      <c r="A10" s="12" t="inlineStr">
        <is>
          <t>Geografi</t>
        </is>
      </c>
      <c r="B10" s="12" t="inlineStr">
        <is>
          <t>data/provstier.geojson</t>
        </is>
      </c>
      <c r="C10" s="12" t="inlineStr"/>
      <c r="D10" s="12" t="inlineStr">
        <is>
          <t>Uændret i v24.0.</t>
        </is>
      </c>
    </row>
    <row r="11">
      <c r="A11" s="12" t="inlineStr">
        <is>
          <t>Formål med v24.0</t>
        </is>
      </c>
      <c r="B11" s="12" t="inlineStr">
        <is>
          <t>Datakonsolidering</t>
        </is>
      </c>
      <c r="C11" s="12" t="inlineStr"/>
      <c r="D11" s="12" t="inlineStr">
        <is>
          <t>Ingen funktionelle app-ændringer ud over at appens provstidata.xlsx nu er konsolideret.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2026-06-11T11:37:40Z</dcterms:created>
  <dcterms:modified xmlns:dcterms="http://purl.org/dc/terms/" xmlns:xsi="http://www.w3.org/2001/XMLSchema-instance" xsi:type="dcterms:W3CDTF">2026-06-11T11:37:41Z</dcterms:modified>
</cp:coreProperties>
</file>