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lj\Documents\Stiftsapp\"/>
    </mc:Choice>
  </mc:AlternateContent>
  <xr:revisionPtr revIDLastSave="0" documentId="8_{93A491ED-15C5-48D9-826C-25A873678696}" xr6:coauthVersionLast="47" xr6:coauthVersionMax="47" xr10:uidLastSave="{00000000-0000-0000-0000-000000000000}"/>
  <bookViews>
    <workbookView xWindow="-110" yWindow="-110" windowWidth="19420" windowHeight="11500" xr2:uid="{9AC540DD-A669-47D4-8A8E-5826FB746AA9}"/>
  </bookViews>
  <sheets>
    <sheet name="Tabel" sheetId="4" r:id="rId1"/>
    <sheet name="Befolkning" sheetId="3" r:id="rId2"/>
    <sheet name="Folkekirkemedlemmer mv" sheetId="1" r:id="rId3"/>
    <sheet name="Lokal ligning" sheetId="2" r:id="rId4"/>
    <sheet name="Præster" sheetId="5" r:id="rId5"/>
    <sheet name="Pastorater" sheetId="8" r:id="rId6"/>
    <sheet name="Menighedsråd" sheetId="7" r:id="rId7"/>
    <sheet name="Detalje1" sheetId="11" r:id="rId8"/>
    <sheet name="Kirker" sheetId="6" r:id="rId9"/>
    <sheet name="Kirker fordelt efter art" sheetId="10" r:id="rId10"/>
    <sheet name="Graf befolkning" sheetId="9" r:id="rId11"/>
  </sheets>
  <definedNames>
    <definedName name="_xlnm.Print_Titles" localSheetId="0">Tabel!$1:$1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6" i="4" l="1"/>
  <c r="N58" i="4"/>
  <c r="N113" i="4"/>
  <c r="N98" i="4"/>
  <c r="N83" i="4"/>
  <c r="N71" i="4"/>
  <c r="N49" i="4"/>
  <c r="N44" i="4"/>
  <c r="N34" i="4"/>
  <c r="N20" i="4"/>
  <c r="N12" i="4"/>
  <c r="N26" i="4"/>
  <c r="M26" i="4"/>
  <c r="I12" i="3"/>
  <c r="G12" i="3"/>
  <c r="F12" i="3"/>
  <c r="E12" i="3"/>
  <c r="N25" i="4"/>
  <c r="I9" i="3"/>
  <c r="G9" i="3"/>
  <c r="F9" i="3"/>
  <c r="E9" i="3"/>
  <c r="I8" i="3"/>
  <c r="N27" i="4" s="1"/>
  <c r="I6" i="3"/>
  <c r="N36" i="4" s="1"/>
  <c r="N28" i="4"/>
  <c r="M27" i="4"/>
  <c r="G8" i="3"/>
  <c r="F8" i="3"/>
  <c r="E8" i="3"/>
  <c r="N41" i="4"/>
  <c r="N39" i="4"/>
  <c r="N38" i="4"/>
  <c r="M36" i="4"/>
  <c r="G6" i="3"/>
  <c r="E6" i="3"/>
  <c r="F6" i="3"/>
  <c r="I13" i="3"/>
  <c r="I26" i="3"/>
  <c r="I54" i="3"/>
  <c r="I55" i="3"/>
  <c r="I56" i="3"/>
  <c r="I68" i="3"/>
  <c r="I69" i="3"/>
  <c r="I70" i="3"/>
  <c r="M47" i="4"/>
  <c r="M81" i="4"/>
  <c r="M79" i="4"/>
  <c r="M106" i="4"/>
  <c r="M8" i="4"/>
  <c r="G5" i="3"/>
  <c r="I5" i="3" s="1"/>
  <c r="G7" i="3"/>
  <c r="G10" i="3"/>
  <c r="I10" i="3" s="1"/>
  <c r="G11" i="3"/>
  <c r="M25" i="4" s="1"/>
  <c r="G13" i="3"/>
  <c r="G14" i="3"/>
  <c r="I14" i="3" s="1"/>
  <c r="G15" i="3"/>
  <c r="I15" i="3" s="1"/>
  <c r="G16" i="3"/>
  <c r="I16" i="3" s="1"/>
  <c r="G17" i="3"/>
  <c r="I17" i="3" s="1"/>
  <c r="G18" i="3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G27" i="3"/>
  <c r="I27" i="3" s="1"/>
  <c r="G28" i="3"/>
  <c r="M28" i="4" s="1"/>
  <c r="G29" i="3"/>
  <c r="G30" i="3"/>
  <c r="I30" i="3" s="1"/>
  <c r="G31" i="3"/>
  <c r="G32" i="3"/>
  <c r="G33" i="3"/>
  <c r="G34" i="3"/>
  <c r="I34" i="3" s="1"/>
  <c r="G35" i="3"/>
  <c r="M62" i="4" s="1"/>
  <c r="G36" i="3"/>
  <c r="M63" i="4" s="1"/>
  <c r="G37" i="3"/>
  <c r="M67" i="4" s="1"/>
  <c r="G38" i="3"/>
  <c r="I38" i="3" s="1"/>
  <c r="G39" i="3"/>
  <c r="M70" i="4" s="1"/>
  <c r="G40" i="3"/>
  <c r="I40" i="3" s="1"/>
  <c r="G41" i="3"/>
  <c r="I41" i="3" s="1"/>
  <c r="G42" i="3"/>
  <c r="I42" i="3" s="1"/>
  <c r="G43" i="3"/>
  <c r="M46" i="4" s="1"/>
  <c r="G44" i="3"/>
  <c r="M64" i="4" s="1"/>
  <c r="G45" i="3"/>
  <c r="G46" i="3"/>
  <c r="G47" i="3"/>
  <c r="I47" i="3" s="1"/>
  <c r="G48" i="3"/>
  <c r="I48" i="3" s="1"/>
  <c r="G49" i="3"/>
  <c r="I49" i="3" s="1"/>
  <c r="G50" i="3"/>
  <c r="M69" i="4" s="1"/>
  <c r="G51" i="3"/>
  <c r="M2" i="4" s="1"/>
  <c r="G52" i="3"/>
  <c r="I52" i="3" s="1"/>
  <c r="G53" i="3"/>
  <c r="I53" i="3" s="1"/>
  <c r="G54" i="3"/>
  <c r="G55" i="3"/>
  <c r="G56" i="3"/>
  <c r="M3" i="4" s="1"/>
  <c r="G57" i="3"/>
  <c r="G58" i="3"/>
  <c r="M10" i="4" s="1"/>
  <c r="G59" i="3"/>
  <c r="G60" i="3"/>
  <c r="G61" i="3"/>
  <c r="I61" i="3" s="1"/>
  <c r="G62" i="3"/>
  <c r="I62" i="3" s="1"/>
  <c r="G63" i="3"/>
  <c r="I63" i="3" s="1"/>
  <c r="G64" i="3"/>
  <c r="M13" i="4" s="1"/>
  <c r="G65" i="3"/>
  <c r="M14" i="4" s="1"/>
  <c r="G66" i="3"/>
  <c r="M16" i="4" s="1"/>
  <c r="G67" i="3"/>
  <c r="M17" i="4" s="1"/>
  <c r="G68" i="3"/>
  <c r="M56" i="4" s="1"/>
  <c r="G69" i="3"/>
  <c r="M57" i="4" s="1"/>
  <c r="G70" i="3"/>
  <c r="M51" i="4" s="1"/>
  <c r="G71" i="3"/>
  <c r="M18" i="4" s="1"/>
  <c r="G72" i="3"/>
  <c r="M19" i="4" s="1"/>
  <c r="G73" i="3"/>
  <c r="G74" i="3"/>
  <c r="G75" i="3"/>
  <c r="I75" i="3" s="1"/>
  <c r="G76" i="3"/>
  <c r="M102" i="4" s="1"/>
  <c r="G77" i="3"/>
  <c r="M103" i="4" s="1"/>
  <c r="G78" i="3"/>
  <c r="I78" i="3" s="1"/>
  <c r="G79" i="3"/>
  <c r="I79" i="3" s="1"/>
  <c r="G80" i="3"/>
  <c r="I80" i="3" s="1"/>
  <c r="G81" i="3"/>
  <c r="M107" i="4" s="1"/>
  <c r="G82" i="3"/>
  <c r="M108" i="4" s="1"/>
  <c r="G83" i="3"/>
  <c r="G84" i="3"/>
  <c r="M72" i="4" s="1"/>
  <c r="G85" i="3"/>
  <c r="M74" i="4" s="1"/>
  <c r="G86" i="3"/>
  <c r="M75" i="4" s="1"/>
  <c r="G87" i="3"/>
  <c r="G88" i="3"/>
  <c r="G89" i="3"/>
  <c r="I89" i="3" s="1"/>
  <c r="G90" i="3"/>
  <c r="I90" i="3" s="1"/>
  <c r="G91" i="3"/>
  <c r="I91" i="3" s="1"/>
  <c r="G92" i="3"/>
  <c r="M84" i="4" s="1"/>
  <c r="G93" i="3"/>
  <c r="M85" i="4" s="1"/>
  <c r="G94" i="3"/>
  <c r="G95" i="3"/>
  <c r="M89" i="4" s="1"/>
  <c r="G96" i="3"/>
  <c r="I96" i="3" s="1"/>
  <c r="G97" i="3"/>
  <c r="M100" i="4" s="1"/>
  <c r="G98" i="3"/>
  <c r="M90" i="4" s="1"/>
  <c r="G99" i="3"/>
  <c r="M91" i="4" s="1"/>
  <c r="G100" i="3"/>
  <c r="M93" i="4" s="1"/>
  <c r="G101" i="3"/>
  <c r="G102" i="3"/>
  <c r="G4" i="3"/>
  <c r="I4" i="3" s="1"/>
  <c r="G19" i="4"/>
  <c r="C116" i="4"/>
  <c r="D116" i="4"/>
  <c r="E116" i="4"/>
  <c r="I116" i="4"/>
  <c r="I113" i="4"/>
  <c r="I98" i="4"/>
  <c r="I83" i="4"/>
  <c r="I71" i="4"/>
  <c r="I58" i="4"/>
  <c r="I49" i="4"/>
  <c r="I34" i="4"/>
  <c r="I20" i="4"/>
  <c r="I12" i="4"/>
  <c r="J116" i="4"/>
  <c r="J113" i="4"/>
  <c r="J98" i="4"/>
  <c r="J83" i="4"/>
  <c r="J71" i="4"/>
  <c r="J58" i="4"/>
  <c r="J49" i="4"/>
  <c r="J44" i="4"/>
  <c r="J34" i="4"/>
  <c r="J20" i="4"/>
  <c r="J12" i="4"/>
  <c r="K116" i="4"/>
  <c r="K113" i="4"/>
  <c r="K98" i="4"/>
  <c r="K83" i="4"/>
  <c r="K71" i="4"/>
  <c r="K58" i="4"/>
  <c r="K49" i="4"/>
  <c r="K44" i="4"/>
  <c r="K34" i="4"/>
  <c r="K20" i="4"/>
  <c r="K12" i="4"/>
  <c r="L116" i="4"/>
  <c r="L115" i="4"/>
  <c r="L113" i="4"/>
  <c r="L98" i="4"/>
  <c r="L71" i="4"/>
  <c r="L58" i="4"/>
  <c r="L83" i="4"/>
  <c r="L49" i="4"/>
  <c r="L44" i="4"/>
  <c r="L34" i="4"/>
  <c r="L20" i="4"/>
  <c r="L12" i="4"/>
  <c r="B123" i="5"/>
  <c r="D128" i="1"/>
  <c r="C128" i="1"/>
  <c r="G102" i="4"/>
  <c r="G32" i="4"/>
  <c r="G30" i="4"/>
  <c r="H37" i="4"/>
  <c r="H42" i="4"/>
  <c r="H35" i="4"/>
  <c r="H43" i="4"/>
  <c r="H40" i="4"/>
  <c r="G36" i="4"/>
  <c r="H36" i="4" s="1"/>
  <c r="G39" i="4"/>
  <c r="H39" i="4" s="1"/>
  <c r="G15" i="4"/>
  <c r="H15" i="4" s="1"/>
  <c r="G50" i="4"/>
  <c r="H50" i="4" s="1"/>
  <c r="F13" i="4"/>
  <c r="F16" i="4"/>
  <c r="F18" i="4"/>
  <c r="F15" i="4"/>
  <c r="F14" i="4"/>
  <c r="E19" i="4"/>
  <c r="E17" i="4"/>
  <c r="F17" i="4" s="1"/>
  <c r="E13" i="4"/>
  <c r="E16" i="4"/>
  <c r="E18" i="4"/>
  <c r="E15" i="4"/>
  <c r="E14" i="4"/>
  <c r="D20" i="4"/>
  <c r="C20" i="4"/>
  <c r="H53" i="4"/>
  <c r="G55" i="4"/>
  <c r="H55" i="4" s="1"/>
  <c r="G51" i="4"/>
  <c r="H51" i="4" s="1"/>
  <c r="F57" i="4"/>
  <c r="F54" i="4"/>
  <c r="F53" i="4"/>
  <c r="F50" i="4"/>
  <c r="E51" i="4"/>
  <c r="F51" i="4" s="1"/>
  <c r="E57" i="4"/>
  <c r="E54" i="4"/>
  <c r="E55" i="4"/>
  <c r="F55" i="4" s="1"/>
  <c r="E53" i="4"/>
  <c r="E50" i="4"/>
  <c r="E56" i="4"/>
  <c r="F56" i="4" s="1"/>
  <c r="E52" i="4"/>
  <c r="F52" i="4" s="1"/>
  <c r="D58" i="4"/>
  <c r="C58" i="4"/>
  <c r="H105" i="4"/>
  <c r="H110" i="4"/>
  <c r="H111" i="4"/>
  <c r="H104" i="4"/>
  <c r="H112" i="4"/>
  <c r="G105" i="4"/>
  <c r="G101" i="4"/>
  <c r="H101" i="4" s="1"/>
  <c r="G107" i="4"/>
  <c r="H107" i="4" s="1"/>
  <c r="G109" i="4"/>
  <c r="H109" i="4" s="1"/>
  <c r="F105" i="4"/>
  <c r="F104" i="4"/>
  <c r="E103" i="4"/>
  <c r="F103" i="4" s="1"/>
  <c r="E107" i="4"/>
  <c r="F107" i="4" s="1"/>
  <c r="E101" i="4"/>
  <c r="F101" i="4" s="1"/>
  <c r="E106" i="4"/>
  <c r="F106" i="4" s="1"/>
  <c r="E105" i="4"/>
  <c r="E100" i="4"/>
  <c r="F100" i="4" s="1"/>
  <c r="E108" i="4"/>
  <c r="F108" i="4" s="1"/>
  <c r="E102" i="4"/>
  <c r="F102" i="4" s="1"/>
  <c r="E99" i="4"/>
  <c r="F99" i="4" s="1"/>
  <c r="E110" i="4"/>
  <c r="F110" i="4" s="1"/>
  <c r="E111" i="4"/>
  <c r="F111" i="4" s="1"/>
  <c r="E104" i="4"/>
  <c r="E112" i="4"/>
  <c r="F112" i="4" s="1"/>
  <c r="E109" i="4"/>
  <c r="F109" i="4" s="1"/>
  <c r="D113" i="4"/>
  <c r="C113" i="4"/>
  <c r="H82" i="4"/>
  <c r="H78" i="4"/>
  <c r="H73" i="4"/>
  <c r="G75" i="4"/>
  <c r="H75" i="4" s="1"/>
  <c r="G80" i="4"/>
  <c r="H80" i="4" s="1"/>
  <c r="D83" i="4"/>
  <c r="C83" i="4"/>
  <c r="F72" i="4"/>
  <c r="F74" i="4"/>
  <c r="F73" i="4"/>
  <c r="E82" i="4"/>
  <c r="E77" i="4"/>
  <c r="F77" i="4" s="1"/>
  <c r="E78" i="4"/>
  <c r="F78" i="4" s="1"/>
  <c r="E80" i="4"/>
  <c r="F80" i="4" s="1"/>
  <c r="E72" i="4"/>
  <c r="E74" i="4"/>
  <c r="E73" i="4"/>
  <c r="E76" i="4"/>
  <c r="F76" i="4" s="1"/>
  <c r="E75" i="4"/>
  <c r="F75" i="4" s="1"/>
  <c r="E79" i="4"/>
  <c r="F79" i="4" s="1"/>
  <c r="E81" i="4"/>
  <c r="F81" i="4" s="1"/>
  <c r="H95" i="4"/>
  <c r="H96" i="4"/>
  <c r="H86" i="4"/>
  <c r="H92" i="4"/>
  <c r="H97" i="4"/>
  <c r="H88" i="4"/>
  <c r="G91" i="4"/>
  <c r="H91" i="4" s="1"/>
  <c r="G85" i="4"/>
  <c r="H85" i="4" s="1"/>
  <c r="G84" i="4"/>
  <c r="H84" i="4" s="1"/>
  <c r="F96" i="4"/>
  <c r="F92" i="4"/>
  <c r="E95" i="4"/>
  <c r="F95" i="4" s="1"/>
  <c r="E96" i="4"/>
  <c r="E86" i="4"/>
  <c r="F86" i="4" s="1"/>
  <c r="E84" i="4"/>
  <c r="F84" i="4" s="1"/>
  <c r="E87" i="4"/>
  <c r="F87" i="4" s="1"/>
  <c r="E85" i="4"/>
  <c r="F85" i="4" s="1"/>
  <c r="E89" i="4"/>
  <c r="F89" i="4" s="1"/>
  <c r="E93" i="4"/>
  <c r="F93" i="4" s="1"/>
  <c r="E92" i="4"/>
  <c r="E90" i="4"/>
  <c r="F90" i="4" s="1"/>
  <c r="E97" i="4"/>
  <c r="F97" i="4" s="1"/>
  <c r="E88" i="4"/>
  <c r="F88" i="4" s="1"/>
  <c r="E91" i="4"/>
  <c r="F91" i="4" s="1"/>
  <c r="E94" i="4"/>
  <c r="F94" i="4" s="1"/>
  <c r="D98" i="4"/>
  <c r="E98" i="4" s="1"/>
  <c r="F98" i="4" s="1"/>
  <c r="C98" i="4"/>
  <c r="H5" i="4"/>
  <c r="H9" i="4"/>
  <c r="G6" i="4"/>
  <c r="H6" i="4" s="1"/>
  <c r="G4" i="4"/>
  <c r="H4" i="4" s="1"/>
  <c r="G11" i="4"/>
  <c r="H11" i="4" s="1"/>
  <c r="F8" i="4"/>
  <c r="E3" i="4"/>
  <c r="E2" i="4"/>
  <c r="F2" i="4" s="1"/>
  <c r="E8" i="4"/>
  <c r="E11" i="4"/>
  <c r="F11" i="4" s="1"/>
  <c r="E4" i="4"/>
  <c r="F4" i="4" s="1"/>
  <c r="E5" i="4"/>
  <c r="F5" i="4" s="1"/>
  <c r="E9" i="4"/>
  <c r="F9" i="4" s="1"/>
  <c r="E7" i="4"/>
  <c r="F7" i="4" s="1"/>
  <c r="E6" i="4"/>
  <c r="F6" i="4" s="1"/>
  <c r="E10" i="4"/>
  <c r="F10" i="4" s="1"/>
  <c r="D12" i="4"/>
  <c r="C12" i="4"/>
  <c r="H48" i="4"/>
  <c r="H45" i="4"/>
  <c r="G47" i="4"/>
  <c r="H47" i="4" s="1"/>
  <c r="G46" i="4"/>
  <c r="H46" i="4" s="1"/>
  <c r="E48" i="4"/>
  <c r="F48" i="4" s="1"/>
  <c r="E47" i="4"/>
  <c r="F47" i="4" s="1"/>
  <c r="E45" i="4"/>
  <c r="F45" i="4" s="1"/>
  <c r="E46" i="4"/>
  <c r="F46" i="4" s="1"/>
  <c r="D49" i="4"/>
  <c r="C49" i="4"/>
  <c r="G66" i="4"/>
  <c r="H66" i="4" s="1"/>
  <c r="G60" i="4"/>
  <c r="H60" i="4" s="1"/>
  <c r="G61" i="4"/>
  <c r="H61" i="4" s="1"/>
  <c r="G67" i="4"/>
  <c r="H67" i="4" s="1"/>
  <c r="H32" i="4"/>
  <c r="G23" i="4"/>
  <c r="H23" i="4" s="1"/>
  <c r="G22" i="4"/>
  <c r="H22" i="4" s="1"/>
  <c r="G28" i="4"/>
  <c r="H28" i="4" s="1"/>
  <c r="F100" i="2"/>
  <c r="F99" i="2"/>
  <c r="G94" i="4" s="1"/>
  <c r="H94" i="4" s="1"/>
  <c r="F98" i="2"/>
  <c r="G89" i="4" s="1"/>
  <c r="H89" i="4" s="1"/>
  <c r="F97" i="2"/>
  <c r="G100" i="4" s="1"/>
  <c r="H100" i="4" s="1"/>
  <c r="F96" i="2"/>
  <c r="F95" i="2"/>
  <c r="G87" i="4" s="1"/>
  <c r="H87" i="4" s="1"/>
  <c r="F94" i="2"/>
  <c r="F93" i="2"/>
  <c r="F92" i="2"/>
  <c r="F91" i="2"/>
  <c r="G81" i="4" s="1"/>
  <c r="H81" i="4" s="1"/>
  <c r="F90" i="2"/>
  <c r="G93" i="4" s="1"/>
  <c r="H93" i="4" s="1"/>
  <c r="F89" i="2"/>
  <c r="G77" i="4" s="1"/>
  <c r="H77" i="4" s="1"/>
  <c r="F88" i="2"/>
  <c r="G90" i="4" s="1"/>
  <c r="H90" i="4" s="1"/>
  <c r="F87" i="2"/>
  <c r="F86" i="2"/>
  <c r="F85" i="2"/>
  <c r="F84" i="2"/>
  <c r="F83" i="2"/>
  <c r="F82" i="2"/>
  <c r="F81" i="2"/>
  <c r="G106" i="4" s="1"/>
  <c r="H106" i="4" s="1"/>
  <c r="F80" i="2"/>
  <c r="F79" i="2"/>
  <c r="G103" i="4" s="1"/>
  <c r="H103" i="4" s="1"/>
  <c r="F78" i="2"/>
  <c r="G99" i="4" s="1"/>
  <c r="H99" i="4" s="1"/>
  <c r="F77" i="2"/>
  <c r="F76" i="2"/>
  <c r="G108" i="4" s="1"/>
  <c r="H108" i="4" s="1"/>
  <c r="F75" i="2"/>
  <c r="G79" i="4" s="1"/>
  <c r="H79" i="4" s="1"/>
  <c r="F74" i="2"/>
  <c r="G76" i="4" s="1"/>
  <c r="H76" i="4" s="1"/>
  <c r="F73" i="2"/>
  <c r="G74" i="4" s="1"/>
  <c r="H74" i="4" s="1"/>
  <c r="F72" i="2"/>
  <c r="G72" i="4" s="1"/>
  <c r="H72" i="4" s="1"/>
  <c r="F71" i="2"/>
  <c r="G18" i="4" s="1"/>
  <c r="H18" i="4" s="1"/>
  <c r="F70" i="2"/>
  <c r="G16" i="4" s="1"/>
  <c r="H16" i="4" s="1"/>
  <c r="F69" i="2"/>
  <c r="F68" i="2"/>
  <c r="G13" i="4" s="1"/>
  <c r="H13" i="4" s="1"/>
  <c r="F67" i="2"/>
  <c r="H19" i="4" s="1"/>
  <c r="F66" i="2"/>
  <c r="F65" i="2"/>
  <c r="G57" i="4" s="1"/>
  <c r="H57" i="4" s="1"/>
  <c r="F64" i="2"/>
  <c r="G54" i="4" s="1"/>
  <c r="H54" i="4" s="1"/>
  <c r="F63" i="2"/>
  <c r="G52" i="4" s="1"/>
  <c r="H52" i="4" s="1"/>
  <c r="F62" i="2"/>
  <c r="G56" i="4" s="1"/>
  <c r="H56" i="4" s="1"/>
  <c r="F61" i="2"/>
  <c r="G17" i="4" s="1"/>
  <c r="H17" i="4" s="1"/>
  <c r="F60" i="2"/>
  <c r="F59" i="2"/>
  <c r="G14" i="4" s="1"/>
  <c r="F58" i="2"/>
  <c r="F57" i="2"/>
  <c r="G7" i="4" s="1"/>
  <c r="H7" i="4" s="1"/>
  <c r="F56" i="2"/>
  <c r="G3" i="4" s="1"/>
  <c r="H3" i="4" s="1"/>
  <c r="F55" i="2"/>
  <c r="F54" i="2"/>
  <c r="G10" i="4" s="1"/>
  <c r="F53" i="2"/>
  <c r="F52" i="2"/>
  <c r="F51" i="2"/>
  <c r="F50" i="2"/>
  <c r="G2" i="4" s="1"/>
  <c r="H2" i="4" s="1"/>
  <c r="F49" i="2"/>
  <c r="G8" i="4" s="1"/>
  <c r="H8" i="4" s="1"/>
  <c r="F48" i="2"/>
  <c r="G38" i="4" s="1"/>
  <c r="H38" i="4" s="1"/>
  <c r="F47" i="2"/>
  <c r="G69" i="4" s="1"/>
  <c r="H69" i="4" s="1"/>
  <c r="F46" i="2"/>
  <c r="F45" i="2"/>
  <c r="G64" i="4" s="1"/>
  <c r="H64" i="4" s="1"/>
  <c r="F44" i="2"/>
  <c r="F43" i="2"/>
  <c r="G63" i="4" s="1"/>
  <c r="H63" i="4" s="1"/>
  <c r="F42" i="2"/>
  <c r="F41" i="2"/>
  <c r="F40" i="2"/>
  <c r="G68" i="4" s="1"/>
  <c r="H68" i="4" s="1"/>
  <c r="F39" i="2"/>
  <c r="F38" i="2"/>
  <c r="F37" i="2"/>
  <c r="G70" i="4" s="1"/>
  <c r="H70" i="4" s="1"/>
  <c r="F36" i="2"/>
  <c r="F35" i="2"/>
  <c r="G65" i="4" s="1"/>
  <c r="H65" i="4" s="1"/>
  <c r="F34" i="2"/>
  <c r="F33" i="2"/>
  <c r="G59" i="4" s="1"/>
  <c r="H59" i="4" s="1"/>
  <c r="F32" i="2"/>
  <c r="F31" i="2"/>
  <c r="G24" i="4" s="1"/>
  <c r="H24" i="4" s="1"/>
  <c r="F30" i="2"/>
  <c r="G62" i="4" s="1"/>
  <c r="H62" i="4" s="1"/>
  <c r="F29" i="2"/>
  <c r="F28" i="2"/>
  <c r="F27" i="2"/>
  <c r="F26" i="2"/>
  <c r="F25" i="2"/>
  <c r="F24" i="2"/>
  <c r="F23" i="2"/>
  <c r="F22" i="2"/>
  <c r="F21" i="2"/>
  <c r="G29" i="4" s="1"/>
  <c r="H29" i="4" s="1"/>
  <c r="F20" i="2"/>
  <c r="F19" i="2"/>
  <c r="G27" i="4" s="1"/>
  <c r="H27" i="4" s="1"/>
  <c r="F18" i="2"/>
  <c r="F17" i="2"/>
  <c r="F16" i="2"/>
  <c r="G33" i="4" s="1"/>
  <c r="H33" i="4" s="1"/>
  <c r="F15" i="2"/>
  <c r="F14" i="2"/>
  <c r="F13" i="2"/>
  <c r="F12" i="2"/>
  <c r="F11" i="2"/>
  <c r="G26" i="4" s="1"/>
  <c r="H26" i="4" s="1"/>
  <c r="F10" i="2"/>
  <c r="F9" i="2"/>
  <c r="F8" i="2"/>
  <c r="G25" i="4" s="1"/>
  <c r="H25" i="4" s="1"/>
  <c r="F7" i="2"/>
  <c r="F6" i="2"/>
  <c r="F5" i="2"/>
  <c r="G21" i="4" s="1"/>
  <c r="H21" i="4" s="1"/>
  <c r="F4" i="2"/>
  <c r="F3" i="2"/>
  <c r="F101" i="2" s="1"/>
  <c r="D71" i="4"/>
  <c r="C71" i="4"/>
  <c r="E63" i="4"/>
  <c r="E62" i="4"/>
  <c r="F62" i="4" s="1"/>
  <c r="E61" i="4"/>
  <c r="F61" i="4" s="1"/>
  <c r="E60" i="4"/>
  <c r="F60" i="4" s="1"/>
  <c r="E65" i="4"/>
  <c r="F65" i="4" s="1"/>
  <c r="E66" i="4"/>
  <c r="F66" i="4" s="1"/>
  <c r="E68" i="4"/>
  <c r="F68" i="4" s="1"/>
  <c r="E70" i="4"/>
  <c r="F70" i="4" s="1"/>
  <c r="E64" i="4"/>
  <c r="F64" i="4" s="1"/>
  <c r="E69" i="4"/>
  <c r="F69" i="4" s="1"/>
  <c r="E59" i="4"/>
  <c r="F59" i="4" s="1"/>
  <c r="E67" i="4"/>
  <c r="F67" i="4" s="1"/>
  <c r="E25" i="4"/>
  <c r="E27" i="4"/>
  <c r="F27" i="4" s="1"/>
  <c r="E28" i="4"/>
  <c r="F28" i="4" s="1"/>
  <c r="E22" i="4"/>
  <c r="F22" i="4" s="1"/>
  <c r="E23" i="4"/>
  <c r="F23" i="4" s="1"/>
  <c r="E24" i="4"/>
  <c r="F24" i="4" s="1"/>
  <c r="E33" i="4"/>
  <c r="F33" i="4" s="1"/>
  <c r="E21" i="4"/>
  <c r="F21" i="4" s="1"/>
  <c r="E31" i="4"/>
  <c r="F31" i="4" s="1"/>
  <c r="E29" i="4"/>
  <c r="F29" i="4" s="1"/>
  <c r="E30" i="4"/>
  <c r="F30" i="4" s="1"/>
  <c r="E32" i="4"/>
  <c r="F32" i="4" s="1"/>
  <c r="E26" i="4"/>
  <c r="F26" i="4" s="1"/>
  <c r="D34" i="4"/>
  <c r="C34" i="4"/>
  <c r="D44" i="4"/>
  <c r="C44" i="4"/>
  <c r="E41" i="4"/>
  <c r="F41" i="4" s="1"/>
  <c r="E39" i="4"/>
  <c r="F39" i="4" s="1"/>
  <c r="E38" i="4"/>
  <c r="F38" i="4" s="1"/>
  <c r="E37" i="4"/>
  <c r="F37" i="4" s="1"/>
  <c r="E42" i="4"/>
  <c r="F42" i="4" s="1"/>
  <c r="E35" i="4"/>
  <c r="F35" i="4" s="1"/>
  <c r="E36" i="4"/>
  <c r="F36" i="4" s="1"/>
  <c r="E43" i="4"/>
  <c r="F43" i="4" s="1"/>
  <c r="E40" i="4"/>
  <c r="F40" i="4" s="1"/>
  <c r="D125" i="1"/>
  <c r="C125" i="1"/>
  <c r="E125" i="1" s="1"/>
  <c r="E123" i="1"/>
  <c r="E122" i="1"/>
  <c r="E121" i="1"/>
  <c r="E120" i="1"/>
  <c r="E119" i="1"/>
  <c r="E118" i="1"/>
  <c r="E117" i="1"/>
  <c r="D116" i="1"/>
  <c r="C116" i="1"/>
  <c r="E116" i="1" s="1"/>
  <c r="E115" i="1"/>
  <c r="E114" i="1"/>
  <c r="E113" i="1"/>
  <c r="E112" i="1"/>
  <c r="E111" i="1"/>
  <c r="E110" i="1"/>
  <c r="E109" i="1"/>
  <c r="E108" i="1"/>
  <c r="D107" i="1"/>
  <c r="C107" i="1"/>
  <c r="E107" i="1" s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D92" i="1"/>
  <c r="C92" i="1"/>
  <c r="E92" i="1" s="1"/>
  <c r="E91" i="1"/>
  <c r="E90" i="1"/>
  <c r="E89" i="1"/>
  <c r="E88" i="1"/>
  <c r="E87" i="1"/>
  <c r="E86" i="1"/>
  <c r="E85" i="1"/>
  <c r="E84" i="1"/>
  <c r="E83" i="1"/>
  <c r="E82" i="1"/>
  <c r="E81" i="1"/>
  <c r="D80" i="1"/>
  <c r="C80" i="1"/>
  <c r="E80" i="1" s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D65" i="1"/>
  <c r="C65" i="1"/>
  <c r="E64" i="1"/>
  <c r="E63" i="1"/>
  <c r="E62" i="1"/>
  <c r="E61" i="1"/>
  <c r="E57" i="1"/>
  <c r="E56" i="1"/>
  <c r="E55" i="1"/>
  <c r="E54" i="1"/>
  <c r="E53" i="1"/>
  <c r="E51" i="1"/>
  <c r="D50" i="1"/>
  <c r="E50" i="1" s="1"/>
  <c r="C50" i="1"/>
  <c r="E49" i="1"/>
  <c r="E48" i="1"/>
  <c r="E47" i="1"/>
  <c r="E46" i="1"/>
  <c r="D45" i="1"/>
  <c r="C45" i="1"/>
  <c r="E45" i="1" s="1"/>
  <c r="E44" i="1"/>
  <c r="E43" i="1"/>
  <c r="E42" i="1"/>
  <c r="E41" i="1"/>
  <c r="E39" i="1"/>
  <c r="E38" i="1"/>
  <c r="E37" i="1"/>
  <c r="E36" i="1"/>
  <c r="E35" i="1"/>
  <c r="E34" i="1"/>
  <c r="E33" i="1"/>
  <c r="E32" i="1"/>
  <c r="D31" i="1"/>
  <c r="C31" i="1"/>
  <c r="E31" i="1" s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D17" i="1"/>
  <c r="E17" i="1" s="1"/>
  <c r="C17" i="1"/>
  <c r="E16" i="1"/>
  <c r="E15" i="1"/>
  <c r="E14" i="1"/>
  <c r="E13" i="1"/>
  <c r="E12" i="1"/>
  <c r="E11" i="1"/>
  <c r="E10" i="1"/>
  <c r="E9" i="1"/>
  <c r="E7" i="1"/>
  <c r="I40" i="4"/>
  <c r="I43" i="4"/>
  <c r="I36" i="4"/>
  <c r="I35" i="4"/>
  <c r="I42" i="4"/>
  <c r="I37" i="4"/>
  <c r="I38" i="4"/>
  <c r="I39" i="4"/>
  <c r="I41" i="4"/>
  <c r="M21" i="4" l="1"/>
  <c r="I93" i="3"/>
  <c r="M23" i="4"/>
  <c r="I92" i="3"/>
  <c r="M54" i="4"/>
  <c r="I39" i="3"/>
  <c r="I37" i="3"/>
  <c r="I36" i="3"/>
  <c r="I35" i="3"/>
  <c r="M4" i="4"/>
  <c r="I84" i="3"/>
  <c r="I51" i="3"/>
  <c r="I11" i="3"/>
  <c r="I66" i="3"/>
  <c r="I64" i="3"/>
  <c r="M6" i="4"/>
  <c r="I85" i="3"/>
  <c r="M109" i="4"/>
  <c r="I72" i="3"/>
  <c r="I50" i="3"/>
  <c r="I67" i="3"/>
  <c r="M29" i="4"/>
  <c r="I71" i="3"/>
  <c r="M50" i="4"/>
  <c r="M52" i="4"/>
  <c r="I100" i="3"/>
  <c r="I83" i="3"/>
  <c r="I28" i="3"/>
  <c r="M24" i="4"/>
  <c r="M59" i="4"/>
  <c r="M105" i="4"/>
  <c r="I99" i="3"/>
  <c r="I82" i="3"/>
  <c r="I65" i="3"/>
  <c r="M41" i="4"/>
  <c r="M60" i="4"/>
  <c r="I98" i="3"/>
  <c r="I81" i="3"/>
  <c r="I44" i="3"/>
  <c r="M33" i="4"/>
  <c r="M87" i="4"/>
  <c r="M61" i="4"/>
  <c r="I97" i="3"/>
  <c r="I43" i="3"/>
  <c r="I86" i="3"/>
  <c r="G104" i="3"/>
  <c r="I76" i="3"/>
  <c r="M39" i="4"/>
  <c r="I95" i="3"/>
  <c r="I58" i="3"/>
  <c r="I29" i="3"/>
  <c r="M68" i="4"/>
  <c r="M77" i="4"/>
  <c r="I94" i="3"/>
  <c r="I77" i="3"/>
  <c r="I57" i="3"/>
  <c r="M94" i="4"/>
  <c r="I102" i="3"/>
  <c r="I88" i="3"/>
  <c r="M55" i="4"/>
  <c r="M15" i="4"/>
  <c r="M20" i="4" s="1"/>
  <c r="B3" i="9" s="1"/>
  <c r="I74" i="3"/>
  <c r="I60" i="3"/>
  <c r="M7" i="4"/>
  <c r="M66" i="4"/>
  <c r="I46" i="3"/>
  <c r="I32" i="3"/>
  <c r="M38" i="4"/>
  <c r="M31" i="4"/>
  <c r="I18" i="3"/>
  <c r="I101" i="3"/>
  <c r="M80" i="4"/>
  <c r="I87" i="3"/>
  <c r="M76" i="4"/>
  <c r="I73" i="3"/>
  <c r="M99" i="4"/>
  <c r="I59" i="3"/>
  <c r="M11" i="4"/>
  <c r="M12" i="4" s="1"/>
  <c r="B2" i="9" s="1"/>
  <c r="I45" i="3"/>
  <c r="M65" i="4"/>
  <c r="M32" i="4"/>
  <c r="I31" i="3"/>
  <c r="M49" i="4"/>
  <c r="B6" i="9" s="1"/>
  <c r="M98" i="4"/>
  <c r="B10" i="9" s="1"/>
  <c r="M22" i="4"/>
  <c r="M30" i="4"/>
  <c r="M101" i="4"/>
  <c r="H30" i="4"/>
  <c r="E20" i="4"/>
  <c r="F20" i="4" s="1"/>
  <c r="E83" i="4"/>
  <c r="F83" i="4" s="1"/>
  <c r="F19" i="4"/>
  <c r="F82" i="4"/>
  <c r="E12" i="4"/>
  <c r="F12" i="4"/>
  <c r="I44" i="4"/>
  <c r="G20" i="4"/>
  <c r="H14" i="4"/>
  <c r="G12" i="4"/>
  <c r="H12" i="4" s="1"/>
  <c r="H10" i="4"/>
  <c r="G41" i="4"/>
  <c r="H102" i="4"/>
  <c r="G31" i="4"/>
  <c r="H31" i="4" s="1"/>
  <c r="G113" i="4"/>
  <c r="H113" i="4" s="1"/>
  <c r="G83" i="4"/>
  <c r="H83" i="4" s="1"/>
  <c r="E113" i="4"/>
  <c r="F113" i="4" s="1"/>
  <c r="F3" i="4"/>
  <c r="G58" i="4"/>
  <c r="H58" i="4" s="1"/>
  <c r="E58" i="4"/>
  <c r="F58" i="4" s="1"/>
  <c r="G98" i="4"/>
  <c r="H98" i="4" s="1"/>
  <c r="E71" i="4"/>
  <c r="F71" i="4" s="1"/>
  <c r="F63" i="4"/>
  <c r="E49" i="4"/>
  <c r="F49" i="4" s="1"/>
  <c r="G71" i="4"/>
  <c r="H71" i="4" s="1"/>
  <c r="G49" i="4"/>
  <c r="H49" i="4" s="1"/>
  <c r="E44" i="4"/>
  <c r="F44" i="4" s="1"/>
  <c r="E34" i="4"/>
  <c r="F34" i="4" s="1"/>
  <c r="F25" i="4"/>
  <c r="G34" i="4"/>
  <c r="H34" i="4" s="1"/>
  <c r="M113" i="4" l="1"/>
  <c r="B11" i="9" s="1"/>
  <c r="M83" i="4"/>
  <c r="B9" i="9" s="1"/>
  <c r="M58" i="4"/>
  <c r="B7" i="9" s="1"/>
  <c r="M44" i="4"/>
  <c r="B5" i="9" s="1"/>
  <c r="M71" i="4"/>
  <c r="B8" i="9" s="1"/>
  <c r="M34" i="4"/>
  <c r="B4" i="9" s="1"/>
  <c r="B13" i="9" s="1"/>
  <c r="H20" i="4"/>
  <c r="G116" i="4"/>
  <c r="G44" i="4"/>
  <c r="H41" i="4"/>
  <c r="M116" i="4" l="1"/>
  <c r="H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tc={DBFE56AC-9254-4D97-A75D-EFA04E3BA075}</author>
    <author>tc={16B3F6F2-6FA0-4F2E-8260-D48D15916BE7}</author>
    <author>tc={D908D1D0-E0BB-4934-AE8C-D180E856EEA6}</author>
    <author>tc={5C135DC7-FDF0-492A-A602-A92E5B85E6A9}</author>
    <author>tc={445E80BD-9753-4381-878E-7505578EF89A}</author>
    <author>tc={321B11C1-658E-489C-AA05-D15966ECBD15}</author>
    <author>tc={6453F383-935F-4F94-BA58-752858038FA7}</author>
    <author>tc={18AF048D-5669-4D46-A085-3BAF03A212DC}</author>
    <author>tc={839E8D4B-2BDC-47F0-8511-08B812C915A7}</author>
    <author>tc={8B7BB026-5380-4AAF-9457-93F2C95BD9AD}</author>
    <author>tc={E7967891-C207-49D0-9726-91DFA27C6839}</author>
    <author>tc={3352389F-8739-44E9-8700-4ECCD8DE5E6D}</author>
    <author>tc={32F009BB-6D85-4879-8F14-5B74C7F110D7}</author>
    <author>tc={1C46A281-2613-47E0-909E-9BDFB9018673}</author>
    <author>tc={1C172088-F821-49B8-B039-C0834F5C0305}</author>
    <author>tc={8199343B-6381-4E13-9AA3-EBE4A98A35A2}</author>
    <author>tc={569F9609-E182-43CE-A996-9B7403CA06A0}</author>
    <author>tc={9674D32A-6952-4652-92CE-7D1F42ACB028}</author>
    <author>tc={930A5C7B-03B8-41CA-B63A-DD369237A16E}</author>
    <author>tc={AF7C4160-5464-4CFE-858E-009196A0BCEB}</author>
    <author>tc={C81455D7-5197-441B-A152-149EBE1DD6E7}</author>
    <author>tc={F26CF963-E0F2-41C6-BBC3-EEB882F0F2FE}</author>
    <author>tc={BEDEEE12-F051-4876-9F29-91B9F787CCD9}</author>
    <author>tc={F1957EA4-118A-491C-8442-E0F124432938}</author>
    <author>tc={5C1537A2-9749-413D-A36E-898C435D0F5C}</author>
    <author>tc={102A7991-3823-44D6-9F9E-28548EDB857C}</author>
  </authors>
  <commentList>
    <comment ref="G5" authorId="0" shapeId="0" xr:uid="{DBFE56AC-9254-4D97-A75D-EFA04E3BA075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Odense kommune
</t>
      </text>
    </comment>
    <comment ref="G9" authorId="1" shapeId="0" xr:uid="{16B3F6F2-6FA0-4F2E-8260-D48D15916BE7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Faaborg-Midtfyn kommune</t>
      </text>
    </comment>
    <comment ref="G35" authorId="2" shapeId="0" xr:uid="{D908D1D0-E0BB-4934-AE8C-D180E856EEA6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Københavns kommune</t>
      </text>
    </comment>
    <comment ref="G37" authorId="3" shapeId="0" xr:uid="{5C135DC7-FDF0-492A-A602-A92E5B85E6A9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Københavns kommune</t>
      </text>
    </comment>
    <comment ref="G40" authorId="4" shapeId="0" xr:uid="{445E80BD-9753-4381-878E-7505578EF89A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Københavns kommune
</t>
      </text>
    </comment>
    <comment ref="G41" authorId="5" shapeId="0" xr:uid="{321B11C1-658E-489C-AA05-D15966ECBD15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Københavns kommune</t>
      </text>
    </comment>
    <comment ref="G42" authorId="6" shapeId="0" xr:uid="{6453F383-935F-4F94-BA58-752858038FA7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Københavns kommune</t>
      </text>
    </comment>
    <comment ref="G43" authorId="7" shapeId="0" xr:uid="{18AF048D-5669-4D46-A085-3BAF03A212DC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Københavns kommune</t>
      </text>
    </comment>
    <comment ref="G45" authorId="8" shapeId="0" xr:uid="{839E8D4B-2BDC-47F0-8511-08B812C915A7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Guldborgsund kommune
</t>
      </text>
    </comment>
    <comment ref="G46" authorId="9" shapeId="0" xr:uid="{8B7BB026-5380-4AAF-9457-93F2C95BD9AD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Lolland kommune</t>
      </text>
    </comment>
    <comment ref="G47" authorId="10" shapeId="0" xr:uid="{E7967891-C207-49D0-9726-91DFA27C6839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Guldborgsund kommune</t>
      </text>
    </comment>
    <comment ref="G48" authorId="11" shapeId="0" xr:uid="{3352389F-8739-44E9-8700-4ECCD8DE5E6D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Lolland kommune</t>
      </text>
    </comment>
    <comment ref="G53" authorId="12" shapeId="0" xr:uid="{32F009BB-6D85-4879-8F14-5B74C7F110D7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Holstebro-Ringkøbing Kommune
</t>
      </text>
    </comment>
    <comment ref="G55" authorId="13" shapeId="0" xr:uid="{1C46A281-2613-47E0-909E-9BDFB9018673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Ringkøbing-Skjern Kommune
</t>
      </text>
    </comment>
    <comment ref="G73" authorId="14" shapeId="0" xr:uid="{1C172088-F821-49B8-B039-C0834F5C0305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Herning kommune</t>
      </text>
    </comment>
    <comment ref="G78" authorId="15" shapeId="0" xr:uid="{8199343B-6381-4E13-9AA3-EBE4A98A35A2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Ligger under Salling samme kommune</t>
      </text>
    </comment>
    <comment ref="G82" authorId="16" shapeId="0" xr:uid="{569F9609-E182-43CE-A996-9B7403CA06A0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Viborg kommune</t>
      </text>
    </comment>
    <comment ref="G86" authorId="17" shapeId="0" xr:uid="{9674D32A-6952-4652-92CE-7D1F42ACB028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Mariagerfjord kommune</t>
      </text>
    </comment>
    <comment ref="G88" authorId="18" shapeId="0" xr:uid="{930A5C7B-03B8-41CA-B63A-DD369237A16E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Hjørring kommune</t>
      </text>
    </comment>
    <comment ref="G92" authorId="19" shapeId="0" xr:uid="{AF7C4160-5464-4CFE-858E-009196A0BCEB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Thisted kommune</t>
      </text>
    </comment>
    <comment ref="G95" authorId="20" shapeId="0" xr:uid="{C81455D7-5197-441B-A152-149EBE1DD6E7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Aalborg kommune</t>
      </text>
    </comment>
    <comment ref="G96" authorId="21" shapeId="0" xr:uid="{F26CF963-E0F2-41C6-BBC3-EEB882F0F2FE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Aalborg kommune</t>
      </text>
    </comment>
    <comment ref="G97" authorId="22" shapeId="0" xr:uid="{BEDEEE12-F051-4876-9F29-91B9F787CCD9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Aalborg kommune</t>
      </text>
    </comment>
    <comment ref="G100" authorId="23" shapeId="0" xr:uid="{F1957EA4-118A-491C-8442-E0F124432938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Mariagerfjord kommune</t>
      </text>
    </comment>
    <comment ref="G104" authorId="24" shapeId="0" xr:uid="{5C1537A2-9749-413D-A36E-898C435D0F5C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Randers kommune</t>
      </text>
    </comment>
    <comment ref="G110" authorId="25" shapeId="0" xr:uid="{102A7991-3823-44D6-9F9E-28548EDB857C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Århus kommune</t>
      </text>
    </comment>
  </commentList>
</comments>
</file>

<file path=xl/sharedStrings.xml><?xml version="1.0" encoding="utf-8"?>
<sst xmlns="http://schemas.openxmlformats.org/spreadsheetml/2006/main" count="1418" uniqueCount="486">
  <si>
    <t>Befolkningen den 1. i kvartalet efter tid, provsti og folkekirkemedlemskab</t>
  </si>
  <si>
    <t>Enhed: Antal</t>
  </si>
  <si>
    <t>Medlemsprocent</t>
  </si>
  <si>
    <t>Medlem af Folkekirken</t>
  </si>
  <si>
    <t>Ikke medlem af Folkekirken</t>
  </si>
  <si>
    <t>2026K2</t>
  </si>
  <si>
    <t>1-01 Københavns Vor Frue Provsti</t>
  </si>
  <si>
    <t>1-02 Københavns Holmens Provsti</t>
  </si>
  <si>
    <t>1-03 Østerbro Provsti</t>
  </si>
  <si>
    <t>1-04 Nørrebro Provsti</t>
  </si>
  <si>
    <t>1-05 Vesterbro Provsti</t>
  </si>
  <si>
    <t>1-06 Frederiksberg Provsti</t>
  </si>
  <si>
    <t>1-07 Bornholms Provsti</t>
  </si>
  <si>
    <t>1-10 Bispebjerg-Brønshøj Provsti</t>
  </si>
  <si>
    <t>1-11 Valby-Vanløse Provsti</t>
  </si>
  <si>
    <t>1-12 Amagerbro Provsti</t>
  </si>
  <si>
    <t>1-13 Amagerland Provsti</t>
  </si>
  <si>
    <t>1-14 Vor Frue-Vesterbro Provsti</t>
  </si>
  <si>
    <t>1-15 Holmens og Østerbro Provsti</t>
  </si>
  <si>
    <t>2-03 Gladsaxe-Herlev Provsti</t>
  </si>
  <si>
    <t>2-04 Gentofte Provsti</t>
  </si>
  <si>
    <t>2-05 Glostrup Provsti</t>
  </si>
  <si>
    <t>2-06 Helsingør Domprovsti</t>
  </si>
  <si>
    <t>2-07 Fredensborg Provsti</t>
  </si>
  <si>
    <t>2-08 Frederikssund Provsti</t>
  </si>
  <si>
    <t>2-09 Frederiksværk Provsti</t>
  </si>
  <si>
    <t>2-10 Rødovre-Hvidovre Provsti</t>
  </si>
  <si>
    <t>2-11 Ballerup-Furesø Provsti</t>
  </si>
  <si>
    <t>2-12 Kongens Lyngby Provsti</t>
  </si>
  <si>
    <t>2-13 Hillerød Provsti</t>
  </si>
  <si>
    <t>2-14 Høje Taastrup Provsti</t>
  </si>
  <si>
    <t>2-15 Rudersdal Provsti</t>
  </si>
  <si>
    <t>3-01 Roskilde Domprovsti</t>
  </si>
  <si>
    <t>3-02 Lejre Provsti</t>
  </si>
  <si>
    <t>3-03 Køge Provsti</t>
  </si>
  <si>
    <t>3-04 Kalundborg Provsti</t>
  </si>
  <si>
    <t>3-05 Holbæk Provsti</t>
  </si>
  <si>
    <t>3-06 Odsherred Provsti</t>
  </si>
  <si>
    <t>3-07 Ringsted-Sorø Provsti</t>
  </si>
  <si>
    <t>3-08 Slagelse Provsti</t>
  </si>
  <si>
    <t>3-09 Skælskør Provsti</t>
  </si>
  <si>
    <t>3-10 Tryggevælde Provsti</t>
  </si>
  <si>
    <t>3-11 Næstved Provsti</t>
  </si>
  <si>
    <t>3-12 Stege-Vordingborg Provsti</t>
  </si>
  <si>
    <t>3-13 Greve-Solrød Provsti</t>
  </si>
  <si>
    <t>4-01 Lolland Vestre Provsti</t>
  </si>
  <si>
    <t>4-03 Maribo Domprovsti</t>
  </si>
  <si>
    <t>4-04 Lolland Østre Provsti</t>
  </si>
  <si>
    <t>4-08 Falster Provsti</t>
  </si>
  <si>
    <t>5-01 Odense Sankt Knuds Provsti</t>
  </si>
  <si>
    <t>5-03 Kerteminde Provsti</t>
  </si>
  <si>
    <t>5-04 Bogense Provsti</t>
  </si>
  <si>
    <t>5-05 Assens Provsti</t>
  </si>
  <si>
    <t>5-06 Middelfart Provsti</t>
  </si>
  <si>
    <t>5-07 Svendborg Provsti</t>
  </si>
  <si>
    <t>5-08 Fåborg Provsti</t>
  </si>
  <si>
    <t>5-09 Nyborg Provsti</t>
  </si>
  <si>
    <t>5-10 Langelands Provsti</t>
  </si>
  <si>
    <t>5-11 Ærø Provsti</t>
  </si>
  <si>
    <t>5-12 Hjallese Provsti</t>
  </si>
  <si>
    <t>5-13 Midtfyn Provsti</t>
  </si>
  <si>
    <t>5-14 Langeland-Ærø Provsti</t>
  </si>
  <si>
    <t>5-15 Kerteminde-Nyborg Provsti</t>
  </si>
  <si>
    <t>6-01 Aalborg Budolfi Provsti</t>
  </si>
  <si>
    <t>6-02 Aalborg Nordre Provsti</t>
  </si>
  <si>
    <t>6-03 Aalborg Vestre Provsti</t>
  </si>
  <si>
    <t>6-04 Hadsund Provsti</t>
  </si>
  <si>
    <t>6-05 Brønderslev Provsti</t>
  </si>
  <si>
    <t>6-07 Hjørring Nordre Provsti</t>
  </si>
  <si>
    <t>6-08 Frederikshavn Provsti</t>
  </si>
  <si>
    <t>6-09 Jammerbugt Provsti</t>
  </si>
  <si>
    <t>6-10 Thisted Provsti</t>
  </si>
  <si>
    <t>6-11 Sydthy Provsti</t>
  </si>
  <si>
    <t>6-12 Morsø Provsti</t>
  </si>
  <si>
    <t>6-13 Aalborg Østre Provsti</t>
  </si>
  <si>
    <t>6-14 Hjørring Søndre Provsti</t>
  </si>
  <si>
    <t>6-15 Rebild Provsti</t>
  </si>
  <si>
    <t>7-01 Viborg Domprovsti</t>
  </si>
  <si>
    <t>7-02 Viborg Østre Provsti</t>
  </si>
  <si>
    <t>7-04 Salling Provsti</t>
  </si>
  <si>
    <t>7-05 Skive Provsti</t>
  </si>
  <si>
    <t>7-06 Vesthimmerlands Provsti</t>
  </si>
  <si>
    <t>7-07 Herning Nordre Provsti</t>
  </si>
  <si>
    <t>7-08 Holstebro Provsti</t>
  </si>
  <si>
    <t>7-09 Herning Søndre Provsti</t>
  </si>
  <si>
    <t>7-10 Lemvig Provsti</t>
  </si>
  <si>
    <t>7-11 Ikast-Brande Provsti</t>
  </si>
  <si>
    <t>7-12 Struer Provsti</t>
  </si>
  <si>
    <t>8-01 Århus Domprovsti</t>
  </si>
  <si>
    <t>8-02 Odder Provsti</t>
  </si>
  <si>
    <t>8-03 Skanderborg Provsti</t>
  </si>
  <si>
    <t>8-04 Horsens Provsti</t>
  </si>
  <si>
    <t>8-05 Silkeborg Provsti</t>
  </si>
  <si>
    <t>8-07 Randers Søndre Provsti</t>
  </si>
  <si>
    <t>8-08 Hobro-Mariager Provsti</t>
  </si>
  <si>
    <t>8-09 Syddjurs Provsti</t>
  </si>
  <si>
    <t>8-11 Norddjurs Provsti</t>
  </si>
  <si>
    <t>8-12 Favrskov Provsti</t>
  </si>
  <si>
    <t>8-14 Århus Nordre Provsti</t>
  </si>
  <si>
    <t>8-15 Århus Søndre Provsti</t>
  </si>
  <si>
    <t>8-16 Randers Nordre Provsti</t>
  </si>
  <si>
    <t>8-17 Århus Vestre Provsti</t>
  </si>
  <si>
    <t>9-01 Ribe Domprovsti</t>
  </si>
  <si>
    <t>9-02 Malt Provsti</t>
  </si>
  <si>
    <t>9-03 Varde Provsti</t>
  </si>
  <si>
    <t>9-04 Skads Provsti</t>
  </si>
  <si>
    <t>9-05 Skjern Provsti</t>
  </si>
  <si>
    <t>9-06 Ringkøbing Provsti</t>
  </si>
  <si>
    <t>9-07 Grene Provsti</t>
  </si>
  <si>
    <t>9-09 Tønder Provsti</t>
  </si>
  <si>
    <t>10-01 Haderslev Dom Provsti</t>
  </si>
  <si>
    <t>10-02 Åbenrå Provsti</t>
  </si>
  <si>
    <t>10-03 Sønderborg Provsti</t>
  </si>
  <si>
    <t>10-04 Fredericia Provsti</t>
  </si>
  <si>
    <t>10-05 Kolding Provsti</t>
  </si>
  <si>
    <t>10-06 Vejle Provsti</t>
  </si>
  <si>
    <t>10-07 Hedensted Provsti</t>
  </si>
  <si>
    <t>99-99 Uoplyst provsti</t>
  </si>
  <si>
    <t>KOM</t>
  </si>
  <si>
    <t>KOMNR</t>
  </si>
  <si>
    <t>Forskudsbeløb</t>
  </si>
  <si>
    <t>Landskirkeskat 
2026
(kr.)</t>
  </si>
  <si>
    <t>København</t>
  </si>
  <si>
    <t>Frederiksberg</t>
  </si>
  <si>
    <t>Ballerup</t>
  </si>
  <si>
    <t>Brøndby</t>
  </si>
  <si>
    <t>Dragør</t>
  </si>
  <si>
    <t>Gentofte</t>
  </si>
  <si>
    <t>Gladsaxe</t>
  </si>
  <si>
    <t>Glostrup</t>
  </si>
  <si>
    <t>Herlev</t>
  </si>
  <si>
    <t>Albertslund</t>
  </si>
  <si>
    <t>Hvidovre</t>
  </si>
  <si>
    <t>Høje-Taastrup</t>
  </si>
  <si>
    <t>Lyngby-Taarbæk</t>
  </si>
  <si>
    <t>Rødovre</t>
  </si>
  <si>
    <t>Ishøj</t>
  </si>
  <si>
    <t>Tårnby</t>
  </si>
  <si>
    <t>Vallensbæk</t>
  </si>
  <si>
    <t>Furesø</t>
  </si>
  <si>
    <t>Allerød</t>
  </si>
  <si>
    <t>Fredensborg</t>
  </si>
  <si>
    <t>Helsingør</t>
  </si>
  <si>
    <t>Hillerød</t>
  </si>
  <si>
    <t>Hørsholm</t>
  </si>
  <si>
    <t>Rudersdal</t>
  </si>
  <si>
    <t>Egedal</t>
  </si>
  <si>
    <t>Frederikssund</t>
  </si>
  <si>
    <t>Greve</t>
  </si>
  <si>
    <t>Køge</t>
  </si>
  <si>
    <t>Halsnæs</t>
  </si>
  <si>
    <t>Roskilde</t>
  </si>
  <si>
    <t>Solrød</t>
  </si>
  <si>
    <t>Gribskov</t>
  </si>
  <si>
    <t>Odsherred</t>
  </si>
  <si>
    <t>Holbæk</t>
  </si>
  <si>
    <t>Faxe</t>
  </si>
  <si>
    <t>Kalundborg</t>
  </si>
  <si>
    <t>Ringsted</t>
  </si>
  <si>
    <t>Slagelse</t>
  </si>
  <si>
    <t>Stevns</t>
  </si>
  <si>
    <t>Sorø</t>
  </si>
  <si>
    <t>Lejre</t>
  </si>
  <si>
    <t>Lolland</t>
  </si>
  <si>
    <t>Næstved</t>
  </si>
  <si>
    <t>Guldborgsund</t>
  </si>
  <si>
    <t>Vordingborg</t>
  </si>
  <si>
    <t>Bornholm</t>
  </si>
  <si>
    <t>Middelfart</t>
  </si>
  <si>
    <t>Assens</t>
  </si>
  <si>
    <t>Faaborg-Midtfyn</t>
  </si>
  <si>
    <t>Kerteminde</t>
  </si>
  <si>
    <t>Nyborg</t>
  </si>
  <si>
    <t>Odense</t>
  </si>
  <si>
    <t>Svendborg</t>
  </si>
  <si>
    <t>Nordfyn</t>
  </si>
  <si>
    <t>Langeland</t>
  </si>
  <si>
    <t>Ærø</t>
  </si>
  <si>
    <t>Haderslev</t>
  </si>
  <si>
    <t>Billund</t>
  </si>
  <si>
    <t>Sønderborg</t>
  </si>
  <si>
    <t>Tønder</t>
  </si>
  <si>
    <t>Esbjerg</t>
  </si>
  <si>
    <t>Fanø</t>
  </si>
  <si>
    <t>Varde</t>
  </si>
  <si>
    <t>Vejen</t>
  </si>
  <si>
    <t>Aabenraa</t>
  </si>
  <si>
    <t>Fredericia</t>
  </si>
  <si>
    <t>Horsens</t>
  </si>
  <si>
    <t>Kolding</t>
  </si>
  <si>
    <t>Vejle</t>
  </si>
  <si>
    <t>Herning</t>
  </si>
  <si>
    <t>Holstebro</t>
  </si>
  <si>
    <t>Lemvig</t>
  </si>
  <si>
    <t>Struer</t>
  </si>
  <si>
    <t>Syddjurs</t>
  </si>
  <si>
    <t>Norddjurs</t>
  </si>
  <si>
    <t>Favrskov</t>
  </si>
  <si>
    <t>Odder</t>
  </si>
  <si>
    <t>Randers</t>
  </si>
  <si>
    <t>Silkeborg</t>
  </si>
  <si>
    <t>Samsø</t>
  </si>
  <si>
    <t>Skanderborg</t>
  </si>
  <si>
    <t>Aarhus</t>
  </si>
  <si>
    <t>Ikast-Brande</t>
  </si>
  <si>
    <t>Ringkøbing-Skjern</t>
  </si>
  <si>
    <t>Hedensted</t>
  </si>
  <si>
    <t>Morsø</t>
  </si>
  <si>
    <t>Skive</t>
  </si>
  <si>
    <t>Thisted</t>
  </si>
  <si>
    <t>Viborg</t>
  </si>
  <si>
    <t>Brønderslev</t>
  </si>
  <si>
    <t>Frederikshavn</t>
  </si>
  <si>
    <t>Vesthimmerland</t>
  </si>
  <si>
    <t>Læsø</t>
  </si>
  <si>
    <t>Rebild</t>
  </si>
  <si>
    <t>Mariagerfjord</t>
  </si>
  <si>
    <t>Jammerbugt</t>
  </si>
  <si>
    <t>Aalborg</t>
  </si>
  <si>
    <t>Hjørring</t>
  </si>
  <si>
    <t>Befolkningsfremskrivning 2025 efter kommune og tid</t>
  </si>
  <si>
    <t>2026</t>
  </si>
  <si>
    <t>2041</t>
  </si>
  <si>
    <t>Christiansø</t>
  </si>
  <si>
    <t>Nordfyns</t>
  </si>
  <si>
    <t>Vesthimmerlands</t>
  </si>
  <si>
    <t xml:space="preserve">På grund af afrundinger vil summering af alle aldre i tabellen afvige fra hele kommunens folketal. </t>
  </si>
  <si>
    <t>Stift</t>
  </si>
  <si>
    <t>Medlemmer</t>
  </si>
  <si>
    <t>ikke medlem</t>
  </si>
  <si>
    <t>befolkning i alt</t>
  </si>
  <si>
    <t>Provsti</t>
  </si>
  <si>
    <t>Lokal ligning</t>
  </si>
  <si>
    <t>Maks. Stiftsbidrag</t>
  </si>
  <si>
    <t>Lokal ligning ekskl. Landskirkeskat</t>
  </si>
  <si>
    <t>Lolland-Falster</t>
  </si>
  <si>
    <t>Fyens</t>
  </si>
  <si>
    <t xml:space="preserve">Ribe </t>
  </si>
  <si>
    <t>Kontrol</t>
  </si>
  <si>
    <t>Stift/Provsti</t>
  </si>
  <si>
    <t>Antal Præster</t>
  </si>
  <si>
    <t>Fyens Stift</t>
  </si>
  <si>
    <t>(tom)</t>
  </si>
  <si>
    <t>Assens Provsti</t>
  </si>
  <si>
    <t>Bogense Provsti</t>
  </si>
  <si>
    <t>Fåborg Provsti</t>
  </si>
  <si>
    <t>Hjallese Provsti</t>
  </si>
  <si>
    <t>Kerteminde-Nyborg Provsti</t>
  </si>
  <si>
    <t>Langeland-Ærø Provsti</t>
  </si>
  <si>
    <t>Middelfart Provsti</t>
  </si>
  <si>
    <t>Midtfyn Provsti</t>
  </si>
  <si>
    <t>Odense Sankt Knuds Provsti</t>
  </si>
  <si>
    <t>Svendborg Provsti</t>
  </si>
  <si>
    <t>Haderslev Stift</t>
  </si>
  <si>
    <t>Fredericia Provsti</t>
  </si>
  <si>
    <t>Haderslev Domprovsti</t>
  </si>
  <si>
    <t>Hedensted Provsti</t>
  </si>
  <si>
    <t>Kolding Provsti</t>
  </si>
  <si>
    <t>Sønderborg Provsti</t>
  </si>
  <si>
    <t>Vejle Provsti</t>
  </si>
  <si>
    <t>Aabenraa Provsti</t>
  </si>
  <si>
    <t>Helsingør Stift</t>
  </si>
  <si>
    <t>Ballerup-Furesø Provsti</t>
  </si>
  <si>
    <t>Fredensborg Provsti</t>
  </si>
  <si>
    <t>Frederikssund Provsti</t>
  </si>
  <si>
    <t>Frederiksværk Provsti</t>
  </si>
  <si>
    <t>Gentofte Provsti</t>
  </si>
  <si>
    <t>Gladsaxe-Herlev Provsti</t>
  </si>
  <si>
    <t>Glostrup Provsti</t>
  </si>
  <si>
    <t>Helsingør Domprovsti</t>
  </si>
  <si>
    <t>Hillerød Provsti</t>
  </si>
  <si>
    <t>Høje Taastrup Provsti</t>
  </si>
  <si>
    <t>Kongens Lyngby Provsti</t>
  </si>
  <si>
    <t>Rudersdal Provsti</t>
  </si>
  <si>
    <t>Rødovre-Hvidovre Provsti</t>
  </si>
  <si>
    <t>Københavns Stift</t>
  </si>
  <si>
    <t>Amagerbro Provsti</t>
  </si>
  <si>
    <t>Amagerland Provsti</t>
  </si>
  <si>
    <t>Bispebjerg-Brønshøj Provsti</t>
  </si>
  <si>
    <t>Bornholms Provsti</t>
  </si>
  <si>
    <t>Frederiksberg Provsti</t>
  </si>
  <si>
    <t>Holmens og Østerbro Provsti</t>
  </si>
  <si>
    <t>Nørrebro Provsti</t>
  </si>
  <si>
    <t>Valby-Vanløse Provsti</t>
  </si>
  <si>
    <t>Vor Frue-Vesterbro Provsti</t>
  </si>
  <si>
    <t>Lolland-Falsters Stift</t>
  </si>
  <si>
    <t>Falster Provsti</t>
  </si>
  <si>
    <t>Lolland Vestre Provsti</t>
  </si>
  <si>
    <t>Lolland Østre Provsti</t>
  </si>
  <si>
    <t>Maribo Domprovsti</t>
  </si>
  <si>
    <t>Ribe Stift</t>
  </si>
  <si>
    <t>Grene Provsti</t>
  </si>
  <si>
    <t>Malt Provsti</t>
  </si>
  <si>
    <t>Ribe Domprovsti</t>
  </si>
  <si>
    <t>Ringkøbing Provsti</t>
  </si>
  <si>
    <t>Skads Provsti</t>
  </si>
  <si>
    <t>Skjern Provsti</t>
  </si>
  <si>
    <t>Tønder Provsti</t>
  </si>
  <si>
    <t>Varde Provsti</t>
  </si>
  <si>
    <t>Roskilde Stift</t>
  </si>
  <si>
    <t>Greve-Solrød Provsti</t>
  </si>
  <si>
    <t>Holbæk Provsti</t>
  </si>
  <si>
    <t>Kalundborg Provsti</t>
  </si>
  <si>
    <t>Køge Provsti</t>
  </si>
  <si>
    <t>Lejre Provsti</t>
  </si>
  <si>
    <t>Næstved Provsti</t>
  </si>
  <si>
    <t>Odsherred Provsti</t>
  </si>
  <si>
    <t>Ringsted-Sorø Provsti</t>
  </si>
  <si>
    <t>Roskilde Domprovsti</t>
  </si>
  <si>
    <t>Slagelse Provsti</t>
  </si>
  <si>
    <t>Stege-Vordingborg Provsti</t>
  </si>
  <si>
    <t>Tryggevælde Provsti</t>
  </si>
  <si>
    <t>Viborg Stift</t>
  </si>
  <si>
    <t>Herning Nordre Provsti</t>
  </si>
  <si>
    <t>Herning Søndre Provsti</t>
  </si>
  <si>
    <t>Holstebro Provsti</t>
  </si>
  <si>
    <t>Ikast-Brande Provsti</t>
  </si>
  <si>
    <t>Lemvig Provsti</t>
  </si>
  <si>
    <t>Salling Provsti</t>
  </si>
  <si>
    <t>Skive Provsti</t>
  </si>
  <si>
    <t>Struer Provsti</t>
  </si>
  <si>
    <t>Vesthimmerlands Provsti</t>
  </si>
  <si>
    <t>Viborg Domprovsti</t>
  </si>
  <si>
    <t>Viborg Østre Provsti</t>
  </si>
  <si>
    <t>Aalborg Stift</t>
  </si>
  <si>
    <t>Brønderslev Provsti</t>
  </si>
  <si>
    <t>Frederikshavn Provsti</t>
  </si>
  <si>
    <t>Hadsund Provsti</t>
  </si>
  <si>
    <t>Hjørring Nordre Provsti</t>
  </si>
  <si>
    <t>Hjørring Søndre Provsti</t>
  </si>
  <si>
    <t>Jammerbugt Provsti</t>
  </si>
  <si>
    <t>Morsø Provsti</t>
  </si>
  <si>
    <t>Rebild Provsti</t>
  </si>
  <si>
    <t>Sydthy Provsti</t>
  </si>
  <si>
    <t>Thisted Provsti</t>
  </si>
  <si>
    <t>Aalborg Budolfi Provsti</t>
  </si>
  <si>
    <t>Aalborg Nordre Provsti</t>
  </si>
  <si>
    <t>Aalborg Vestre Provsti</t>
  </si>
  <si>
    <t>Aalborg Østre Provsti</t>
  </si>
  <si>
    <t>Aarhus Stift</t>
  </si>
  <si>
    <t>Favrskov Provsti</t>
  </si>
  <si>
    <t>Hobro-Mariager Provsti</t>
  </si>
  <si>
    <t>Horsens Provsti</t>
  </si>
  <si>
    <t>Norddjurs Provsti</t>
  </si>
  <si>
    <t>Odder Provsti</t>
  </si>
  <si>
    <t>Randers Nordre Provsti</t>
  </si>
  <si>
    <t>Randers Søndre Provsti</t>
  </si>
  <si>
    <t>Silkeborg Provsti</t>
  </si>
  <si>
    <t>Skanderborg Provsti</t>
  </si>
  <si>
    <t>Syddjurs Provsti</t>
  </si>
  <si>
    <t>Aarhus Domprovsti</t>
  </si>
  <si>
    <t>Aarhus Nordre Provsti</t>
  </si>
  <si>
    <t>Aarhus Søndre Provsti</t>
  </si>
  <si>
    <t>Aarhus Vestre Provsti</t>
  </si>
  <si>
    <t>Antal personer</t>
  </si>
  <si>
    <t>Antal personer i provstier</t>
  </si>
  <si>
    <t>Antal Kirker</t>
  </si>
  <si>
    <t>Antal menighedsråd</t>
  </si>
  <si>
    <t>Hovedtotal</t>
  </si>
  <si>
    <t>Antal Pastorater</t>
  </si>
  <si>
    <t>Amagerbro/Bispebjerg-Brønshøj/Holmens-Østerbro/Nørrebro/Vor Frue Vesterbro</t>
  </si>
  <si>
    <t>Amagerland provsti</t>
  </si>
  <si>
    <t>Gladsaxe-Herlev</t>
  </si>
  <si>
    <t>Rødovre-Hvidovre</t>
  </si>
  <si>
    <t>Kgs. Lyngby</t>
  </si>
  <si>
    <t>Ballerup-Furesø</t>
  </si>
  <si>
    <t>Frederiksværk</t>
  </si>
  <si>
    <t>Greve-Solrød</t>
  </si>
  <si>
    <t>Tryggevælde</t>
  </si>
  <si>
    <t>Lolland Østre/Lolland Falster</t>
  </si>
  <si>
    <t>Lolland Vestre/Maribo</t>
  </si>
  <si>
    <t>Ringsted-Sorø</t>
  </si>
  <si>
    <t>Stege-Vordingborg</t>
  </si>
  <si>
    <t>Fåborg/Midtfyn</t>
  </si>
  <si>
    <t>Kerteminde-Nyborg</t>
  </si>
  <si>
    <t>Langeland-Ærø</t>
  </si>
  <si>
    <t>Bogense</t>
  </si>
  <si>
    <t>Hjallese og Skt. Knuds Odense</t>
  </si>
  <si>
    <t>Grene/</t>
  </si>
  <si>
    <t>Skads</t>
  </si>
  <si>
    <t>Ribe/Skads</t>
  </si>
  <si>
    <t>Malt</t>
  </si>
  <si>
    <t>Grene/Vejle</t>
  </si>
  <si>
    <t>Randers Nordre/Randers Søndre</t>
  </si>
  <si>
    <t>Aarhus domprovsti</t>
  </si>
  <si>
    <t>Aarhus domprovsti/Aarhus Nordre/Aarhus Vestre/Aarhus Søndre</t>
  </si>
  <si>
    <t>Herning Nordre/Herning Søndre</t>
  </si>
  <si>
    <t>Silkeborg/Ikast-Brande</t>
  </si>
  <si>
    <t>Ringkøbing</t>
  </si>
  <si>
    <t>Holstebro/Ringkøbing</t>
  </si>
  <si>
    <t>Skive/Salling</t>
  </si>
  <si>
    <t>Viborg Domprovsti/Viborg Østre</t>
  </si>
  <si>
    <t>Hjørring Nordre</t>
  </si>
  <si>
    <t>Hjørring Nordre/Hjørring Søndre</t>
  </si>
  <si>
    <t>Hadsund/Hobro Mariager</t>
  </si>
  <si>
    <t>Thisted/Sydthy</t>
  </si>
  <si>
    <t>Aalborg Budolfi/Aalborg Nordre/Aalborg Østre/Aalborg Vestre</t>
  </si>
  <si>
    <t>Kommune</t>
  </si>
  <si>
    <t>Vækst (+/-)</t>
  </si>
  <si>
    <t>Befolkningstilvækst (+/-) frem til 2040 tilknyttet kommune</t>
  </si>
  <si>
    <t>Medlems-procent</t>
  </si>
  <si>
    <t>Antal Menighedsråd</t>
  </si>
  <si>
    <t>Fyen</t>
  </si>
  <si>
    <t xml:space="preserve">Helsingør </t>
  </si>
  <si>
    <t>Lolland Falster</t>
  </si>
  <si>
    <t>Ribe</t>
  </si>
  <si>
    <t>Antal af Navn</t>
  </si>
  <si>
    <t>Kolonnemærkater</t>
  </si>
  <si>
    <t>Rækkemærkater</t>
  </si>
  <si>
    <t>Filialkirke</t>
  </si>
  <si>
    <t>Fængselskirke</t>
  </si>
  <si>
    <t>Kirke</t>
  </si>
  <si>
    <t>Kirkesal</t>
  </si>
  <si>
    <t>Antal Kirker inkl. Kapeller også kommunale</t>
  </si>
  <si>
    <t>Sognekode</t>
  </si>
  <si>
    <t>Sogn</t>
  </si>
  <si>
    <t>Navn</t>
  </si>
  <si>
    <t>Kirketype</t>
  </si>
  <si>
    <t>9241</t>
  </si>
  <si>
    <t>Gadevang Sogn</t>
  </si>
  <si>
    <t>Gadevang Kirke</t>
  </si>
  <si>
    <t>9155</t>
  </si>
  <si>
    <t>Engholm Sogn</t>
  </si>
  <si>
    <t>Engholmkirken</t>
  </si>
  <si>
    <t>9154</t>
  </si>
  <si>
    <t>Grønnevang Sogn</t>
  </si>
  <si>
    <t>Grønnevang Kirke</t>
  </si>
  <si>
    <t>7467</t>
  </si>
  <si>
    <t>Ullerød Sogn</t>
  </si>
  <si>
    <t>Ullerød Kirke</t>
  </si>
  <si>
    <t>7450</t>
  </si>
  <si>
    <t>Lillerød Sogn</t>
  </si>
  <si>
    <t>Lillerød Kirke</t>
  </si>
  <si>
    <t>7449</t>
  </si>
  <si>
    <t>Blovstrød Sogn</t>
  </si>
  <si>
    <t>Blovstrød Kirke</t>
  </si>
  <si>
    <t>7436</t>
  </si>
  <si>
    <t>Frederiksborg Slotssogn</t>
  </si>
  <si>
    <t>Nyhuse Kapel</t>
  </si>
  <si>
    <t>Frederiksborg Slotskirke</t>
  </si>
  <si>
    <t>7429</t>
  </si>
  <si>
    <t>Nødebo Sogn</t>
  </si>
  <si>
    <t>Nødebo Kirke</t>
  </si>
  <si>
    <t>7426</t>
  </si>
  <si>
    <t>Uggeløse Sogn</t>
  </si>
  <si>
    <t>Uggeløse Kirke</t>
  </si>
  <si>
    <t>7425</t>
  </si>
  <si>
    <t>Lynge Sogn</t>
  </si>
  <si>
    <t>Lynge Kirke</t>
  </si>
  <si>
    <t>7422</t>
  </si>
  <si>
    <t>Uvelse Sogn</t>
  </si>
  <si>
    <t>Uvelse Kirke</t>
  </si>
  <si>
    <t>7417</t>
  </si>
  <si>
    <t>Præstevang Sogn</t>
  </si>
  <si>
    <t>Sygehuskapellet</t>
  </si>
  <si>
    <t>Kapellet, Nordsjællands Hospital - Hillerød</t>
  </si>
  <si>
    <t>Skansekirkegårdens Kapel</t>
  </si>
  <si>
    <t>Præstevang Kirke</t>
  </si>
  <si>
    <t>7416</t>
  </si>
  <si>
    <t>Nørre Herlev Sogn</t>
  </si>
  <si>
    <t>Nørre Herlev Kirke</t>
  </si>
  <si>
    <t>7415</t>
  </si>
  <si>
    <t>Hillerød Sogn</t>
  </si>
  <si>
    <t>Kapel</t>
  </si>
  <si>
    <t>Hillerød Kirke</t>
  </si>
  <si>
    <t>7406</t>
  </si>
  <si>
    <t>Gørløse Sogn</t>
  </si>
  <si>
    <t>Gørløse Kirke</t>
  </si>
  <si>
    <t>7405</t>
  </si>
  <si>
    <t>Strø Sogn</t>
  </si>
  <si>
    <t>Strø Kirke</t>
  </si>
  <si>
    <t>7404</t>
  </si>
  <si>
    <t>Lille Lyngby Sogn</t>
  </si>
  <si>
    <t>Lille Lyngby Kirke</t>
  </si>
  <si>
    <t>7403</t>
  </si>
  <si>
    <t>Skævinge Sogn</t>
  </si>
  <si>
    <t>Skævinge Kirke</t>
  </si>
  <si>
    <t>7402</t>
  </si>
  <si>
    <t>Alsønderup Sogn</t>
  </si>
  <si>
    <t>Alsønderup Kirke</t>
  </si>
  <si>
    <t>7401</t>
  </si>
  <si>
    <t>Tjæreby Sogn</t>
  </si>
  <si>
    <t>Tjæreby Kirke</t>
  </si>
  <si>
    <t>Detaljer for Antal Kirker - Provsti: Hillerød Provsti, Stift: Helsingør Stift</t>
  </si>
  <si>
    <t>Procentvis ændring</t>
  </si>
  <si>
    <t>Befolkningstilvækst (+/-) frem til 2040 tilknyttet kommune i procent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</si>
</sst>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wrapText="1"/>
    </xf>
    <xf numFmtId="0" fontId="1" fillId="0" borderId="0" xfId="0" applyFont="1"/>
    <xf numFmtId="0" fontId="6" fillId="0" borderId="0" xfId="0" applyFont="1" applyAlignment="1">
      <alignment horizontal="left"/>
    </xf>
    <xf numFmtId="164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7" fillId="0" borderId="0" xfId="0" applyNumberFormat="1" applyFont="1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pivotButton="1"/>
    <xf numFmtId="0" fontId="8" fillId="0" borderId="0" xfId="0" applyFont="1"/>
    <xf numFmtId="3" fontId="8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9" fillId="0" borderId="0" xfId="0" applyFont="1"/>
    <xf numFmtId="10" fontId="0" fillId="0" borderId="0" xfId="0" applyNumberFormat="1"/>
    <xf numFmtId="10" fontId="1" fillId="0" borderId="0" xfId="0" applyNumberFormat="1" applyFont="1" applyAlignment="1">
      <alignment wrapText="1"/>
    </xf>
    <xf numFmtId="10" fontId="1" fillId="0" borderId="0" xfId="0" applyNumberFormat="1" applyFont="1"/>
    <xf numFmtId="0" fontId="10" fillId="0" borderId="0" xfId="0" applyFont="1" applyAlignment="1">
      <alignment horizontal="left"/>
    </xf>
    <xf numFmtId="165" fontId="1" fillId="0" borderId="0" xfId="1" applyNumberFormat="1" applyFont="1"/>
    <xf numFmtId="165" fontId="1" fillId="0" borderId="0" xfId="1" applyNumberFormat="1" applyFont="1" applyAlignment="1">
      <alignment wrapText="1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5" fontId="5" fillId="0" borderId="0" xfId="1" applyNumberFormat="1" applyFont="1" applyAlignment="1">
      <alignment horizontal="right"/>
    </xf>
    <xf numFmtId="165" fontId="8" fillId="0" borderId="0" xfId="1" applyNumberFormat="1" applyFont="1"/>
  </cellXfs>
  <cellStyles count="2">
    <cellStyle name="Komma" xfId="1" builtinId="3"/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Befolkningsudvikling</a:t>
            </a:r>
            <a:r>
              <a:rPr lang="da-DK" baseline="0"/>
              <a:t> til 2040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 befolkning'!$A$2:$A$11</c:f>
              <c:strCache>
                <c:ptCount val="10"/>
                <c:pt idx="0">
                  <c:v>Fyen</c:v>
                </c:pt>
                <c:pt idx="1">
                  <c:v>Haderslev</c:v>
                </c:pt>
                <c:pt idx="2">
                  <c:v>Helsingør </c:v>
                </c:pt>
                <c:pt idx="3">
                  <c:v>København</c:v>
                </c:pt>
                <c:pt idx="4">
                  <c:v>Lolland Falster</c:v>
                </c:pt>
                <c:pt idx="5">
                  <c:v>Ribe</c:v>
                </c:pt>
                <c:pt idx="6">
                  <c:v>Roskilde</c:v>
                </c:pt>
                <c:pt idx="7">
                  <c:v>Viborg</c:v>
                </c:pt>
                <c:pt idx="8">
                  <c:v>Aalborg</c:v>
                </c:pt>
                <c:pt idx="9">
                  <c:v>Aarhus</c:v>
                </c:pt>
              </c:strCache>
            </c:strRef>
          </c:cat>
          <c:val>
            <c:numRef>
              <c:f>'Graf befolkning'!$B$2:$B$11</c:f>
              <c:numCache>
                <c:formatCode>General</c:formatCode>
                <c:ptCount val="10"/>
                <c:pt idx="0">
                  <c:v>9991</c:v>
                </c:pt>
                <c:pt idx="1">
                  <c:v>9618</c:v>
                </c:pt>
                <c:pt idx="2">
                  <c:v>48035</c:v>
                </c:pt>
                <c:pt idx="3">
                  <c:v>22522</c:v>
                </c:pt>
                <c:pt idx="4">
                  <c:v>-7306</c:v>
                </c:pt>
                <c:pt idx="5">
                  <c:v>-13195</c:v>
                </c:pt>
                <c:pt idx="6">
                  <c:v>13148</c:v>
                </c:pt>
                <c:pt idx="7">
                  <c:v>-14373</c:v>
                </c:pt>
                <c:pt idx="8">
                  <c:v>-4391</c:v>
                </c:pt>
                <c:pt idx="9">
                  <c:v>92945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6-4CF0-88E0-AB53E8151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1999"/>
        <c:axId val="18095279"/>
      </c:barChart>
      <c:catAx>
        <c:axId val="1810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095279"/>
        <c:crosses val="autoZero"/>
        <c:auto val="1"/>
        <c:lblAlgn val="ctr"/>
        <c:lblOffset val="100"/>
        <c:noMultiLvlLbl val="0"/>
      </c:catAx>
      <c:valAx>
        <c:axId val="1809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10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42</xdr:row>
      <xdr:rowOff>76200</xdr:rowOff>
    </xdr:from>
    <xdr:ext cx="184731" cy="264560"/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28E92A53-3572-CBA0-4D8D-AEAFE599F042}"/>
            </a:ext>
          </a:extLst>
        </xdr:cNvPr>
        <xdr:cNvSpPr txBox="1"/>
      </xdr:nvSpPr>
      <xdr:spPr>
        <a:xfrm>
          <a:off x="729615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6</xdr:col>
      <xdr:colOff>590550</xdr:colOff>
      <xdr:row>72</xdr:row>
      <xdr:rowOff>85725</xdr:rowOff>
    </xdr:from>
    <xdr:ext cx="184731" cy="264560"/>
    <xdr:sp macro="" textlink="">
      <xdr:nvSpPr>
        <xdr:cNvPr id="3" name="Tekstfelt 2">
          <a:extLst>
            <a:ext uri="{FF2B5EF4-FFF2-40B4-BE49-F238E27FC236}">
              <a16:creationId xmlns:a16="http://schemas.microsoft.com/office/drawing/2014/main" id="{6C9A8F4E-5C82-C119-5DA0-BCF47E5BFB90}"/>
            </a:ext>
          </a:extLst>
        </xdr:cNvPr>
        <xdr:cNvSpPr txBox="1"/>
      </xdr:nvSpPr>
      <xdr:spPr>
        <a:xfrm>
          <a:off x="7343775" y="15706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a-DK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52386</xdr:rowOff>
    </xdr:from>
    <xdr:to>
      <xdr:col>17</xdr:col>
      <xdr:colOff>314325</xdr:colOff>
      <xdr:row>27</xdr:row>
      <xdr:rowOff>133350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B755710-F1A5-A56A-87B8-1B3C2AAC2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one Paepke" id="{AD827F55-AB9E-4D49-99AB-E14F19A9C224}" userId="S::LONPA@km.dk::27ce964e-7fc7-4495-900c-f8fb72374391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ONPA/AppData/Local/Microsoft/Windows/INetCache/Content.Outlook/0S0UR15I/Antal_kirker_pr_provsti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ONPA/AppData/Local/Microsoft/Windows/INetCache/Content.Outlook/0S0UR15I/Antal_MR_Provsti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ONPA/AppData/Local/Microsoft/Windows/INetCache/Content.Outlook/0S0UR15I/Antal_pastorater_pr_Provsti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ONPA/AppData/Local/cBrain/F2/.tmp/16685518/Antal_kirker_pr_provsti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 B. Kristiansen" refreshedDate="46169.478918055553" createdVersion="8" refreshedVersion="8" minRefreshableVersion="3" recordCount="2658" xr:uid="{62D3D616-D102-4476-A5F9-3669E48C5BC8}">
  <cacheSource type="worksheet">
    <worksheetSource ref="A1:F1048576" sheet="Antal_kirker_pr_provsti" r:id="rId2"/>
  </cacheSource>
  <cacheFields count="6">
    <cacheField name="Stift" numFmtId="0">
      <sharedItems containsBlank="1" count="11">
        <s v="Københavns Stift"/>
        <s v="Helsingør Stift"/>
        <s v="Roskilde Stift"/>
        <s v="Lolland-Falsters Stift"/>
        <s v="Fyens Stift"/>
        <s v="Aalborg Stift"/>
        <s v="Viborg Stift"/>
        <s v="Aarhus Stift"/>
        <s v="Ribe Stift"/>
        <s v="Haderslev Stift"/>
        <m/>
      </sharedItems>
    </cacheField>
    <cacheField name="Provsti" numFmtId="0">
      <sharedItems containsBlank="1" count="103">
        <s v="Nørrebro Provsti"/>
        <s v="Frederiksberg Provsti"/>
        <s v="Bornholms Provsti"/>
        <s v="Bispebjerg-Brønshøj Provsti"/>
        <s v="Valby-Vanløse Provsti"/>
        <s v="Amagerbro Provsti"/>
        <s v="Amagerland Provsti"/>
        <s v="Vor Frue-Vesterbro Provsti"/>
        <s v="Holmens og Østerbro Provsti"/>
        <s v="Gladsaxe-Herlev Provsti"/>
        <s v="Gentofte Provsti"/>
        <s v="Glostrup Provsti"/>
        <s v="Helsingør Domprovsti"/>
        <s v="Fredensborg Provsti"/>
        <s v="Frederikssund Provsti"/>
        <s v="Frederiksværk Provsti"/>
        <s v="Rødovre-Hvidovre Provsti"/>
        <s v="Ballerup-Furesø Provsti"/>
        <s v="Kongens Lyngby Provsti"/>
        <s v="Hillerød Provsti"/>
        <s v="Høje Taastrup Provsti"/>
        <s v="Rudersdal Provsti"/>
        <s v="Roskilde Domprovsti"/>
        <s v="Lejre Provsti"/>
        <s v="Køge Provsti"/>
        <s v="Kalundborg Provsti"/>
        <s v="Holbæk Provsti"/>
        <s v="Odsherred Provsti"/>
        <s v="Ringsted-Sorø Provsti"/>
        <s v="Tryggevælde Provsti"/>
        <s v="Næstved Provsti"/>
        <s v="Stege-Vordingborg Provsti"/>
        <s v="Greve-Solrød Provsti"/>
        <s v="Slagelse Provsti"/>
        <s v="Lolland Vestre Provsti"/>
        <s v="Maribo Domprovsti"/>
        <s v="Lolland Østre Provsti"/>
        <s v="Falster Provsti"/>
        <s v="Odense Sankt Knuds Provsti"/>
        <s v="Bogense Provsti"/>
        <s v="Assens Provsti"/>
        <s v="Middelfart Provsti"/>
        <s v="Svendborg Provsti"/>
        <s v="Fåborg Provsti"/>
        <s v="Hjallese Provsti"/>
        <s v="Midtfyn Provsti"/>
        <s v="Langeland-Ærø Provsti"/>
        <s v="Kerteminde-Nyborg Provsti"/>
        <s v="Aalborg Budolfi Provsti"/>
        <s v="Aalborg Nordre Provsti"/>
        <s v="Aalborg Vestre Provsti"/>
        <s v="Hadsund Provsti"/>
        <s v="Brønderslev Provsti"/>
        <s v="Hjørring Nordre Provsti"/>
        <s v="Frederikshavn Provsti"/>
        <s v="Jammerbugt Provsti"/>
        <s v="Thisted Provsti"/>
        <s v="Sydthy Provsti"/>
        <s v="Morsø Provsti"/>
        <s v="Aalborg Østre Provsti"/>
        <s v="Hjørring Søndre Provsti"/>
        <s v="Rebild Provsti"/>
        <s v="Viborg Domprovsti"/>
        <s v="Viborg Østre Provsti"/>
        <s v="Salling Provsti"/>
        <s v="Skive Provsti"/>
        <s v="Vesthimmerlands Provsti"/>
        <s v="Herning Nordre Provsti"/>
        <s v="Holstebro Provsti"/>
        <s v="Herning Søndre Provsti"/>
        <s v="Lemvig Provsti"/>
        <s v="Ikast-Brande Provsti"/>
        <s v="Struer Provsti"/>
        <s v="Aarhus Domprovsti"/>
        <s v="Odder Provsti"/>
        <s v="Skanderborg Provsti"/>
        <s v="Horsens Provsti"/>
        <s v="Silkeborg Provsti"/>
        <s v="Randers Søndre Provsti"/>
        <s v="Hobro-Mariager Provsti"/>
        <s v="Syddjurs Provsti"/>
        <s v="Norddjurs Provsti"/>
        <s v="Favrskov Provsti"/>
        <s v="Aarhus Nordre Provsti"/>
        <s v="Aarhus Søndre Provsti"/>
        <s v="Randers Nordre Provsti"/>
        <s v="Aarhus Vestre Provsti"/>
        <s v="Ribe Domprovsti"/>
        <s v="Malt Provsti"/>
        <s v="Varde Provsti"/>
        <s v="Skads Provsti"/>
        <s v="Skjern Provsti"/>
        <s v="Ringkøbing Provsti"/>
        <s v="Grene Provsti"/>
        <s v="Tønder Provsti"/>
        <s v="Haderslev Domprovsti"/>
        <s v="Aabenraa Provsti"/>
        <s v="Sønderborg Provsti"/>
        <s v="Fredericia Provsti"/>
        <s v="Kolding Provsti"/>
        <s v="Vejle Provsti"/>
        <s v="Hedensted Provsti"/>
        <m/>
      </sharedItems>
    </cacheField>
    <cacheField name="Sognekode" numFmtId="0">
      <sharedItems containsBlank="1"/>
    </cacheField>
    <cacheField name="Sogn" numFmtId="0">
      <sharedItems containsBlank="1"/>
    </cacheField>
    <cacheField name="Navn" numFmtId="0">
      <sharedItems containsBlank="1"/>
    </cacheField>
    <cacheField name="Kirke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 B. Kristiansen" refreshedDate="46169.465776157405" createdVersion="8" refreshedVersion="8" minRefreshableVersion="3" recordCount="1546" xr:uid="{4E3388C4-0D0A-43CC-8F20-32CA9E3595F6}">
  <cacheSource type="worksheet">
    <worksheetSource ref="A1:C1048576" sheet="Antal_MR_Provsti" r:id="rId2"/>
  </cacheSource>
  <cacheFields count="3">
    <cacheField name="Stift" numFmtId="0">
      <sharedItems containsBlank="1" count="11">
        <s v="Københavns Stift"/>
        <s v="Helsingør Stift"/>
        <s v="Roskilde Stift"/>
        <s v="Lolland-Falsters Stift"/>
        <s v="Fyens Stift"/>
        <s v="Haderslev Stift"/>
        <s v="Aarhus Stift"/>
        <s v="Viborg Stift"/>
        <s v="Ribe Stift"/>
        <s v="Aalborg Stift"/>
        <m/>
      </sharedItems>
    </cacheField>
    <cacheField name="Provsti" numFmtId="0">
      <sharedItems containsBlank="1" count="103">
        <s v="Vor Frue-Vesterbro Provsti"/>
        <s v="Nørrebro Provsti"/>
        <s v="Valby-Vanløse Provsti"/>
        <s v="Holmens og Østerbro Provsti"/>
        <s v="Bispebjerg-Brønshøj Provsti"/>
        <s v="Amagerbro Provsti"/>
        <s v="Frederiksberg Provsti"/>
        <s v="Gentofte Provsti"/>
        <s v="Kongens Lyngby Provsti"/>
        <s v="Rudersdal Provsti"/>
        <s v="Gladsaxe-Herlev Provsti"/>
        <s v="Rødovre-Hvidovre Provsti"/>
        <s v="Glostrup Provsti"/>
        <s v="Høje Taastrup Provsti"/>
        <s v="Ballerup-Furesø Provsti"/>
        <s v="Roskilde Domprovsti"/>
        <s v="Lejre Provsti"/>
        <s v="Frederikssund Provsti"/>
        <s v="Amagerland Provsti"/>
        <s v="Greve-Solrød Provsti"/>
        <s v="Køge Provsti"/>
        <s v="Kalundborg Provsti"/>
        <s v="Ringsted-Sorø Provsti"/>
        <s v="Slagelse Provsti"/>
        <s v="Holbæk Provsti"/>
        <s v="Odsherred Provsti"/>
        <s v="Næstved Provsti"/>
        <s v="Tryggevælde Provsti"/>
        <s v="Frederiksværk Provsti"/>
        <s v="Hillerød Provsti"/>
        <s v="Helsingør Domprovsti"/>
        <s v="Fredensborg Provsti"/>
        <s v="Stege-Vordingborg Provsti"/>
        <s v="Bornholms Provsti"/>
        <s v="Falster Provsti"/>
        <s v="Lolland Østre Provsti"/>
        <s v="Lolland Vestre Provsti"/>
        <s v="Maribo Domprovsti"/>
        <s v="Svendborg Provsti"/>
        <s v="Midtfyn Provsti"/>
        <s v="Langeland-Ærø Provsti"/>
        <s v="Fåborg Provsti"/>
        <s v="Kerteminde-Nyborg Provsti"/>
        <s v="Odense Sankt Knuds Provsti"/>
        <s v="Hjallese Provsti"/>
        <s v="Assens Provsti"/>
        <s v="Middelfart Provsti"/>
        <s v="Bogense Provsti"/>
        <s v="Vejle Provsti"/>
        <s v="Hedensted Provsti"/>
        <s v="Fredericia Provsti"/>
        <s v="Kolding Provsti"/>
        <s v="Horsens Provsti"/>
        <s v="Ikast-Brande Provsti"/>
        <s v="Grene Provsti"/>
        <s v="Skanderborg Provsti"/>
        <s v="Silkeborg Provsti"/>
        <s v="Favrskov Provsti"/>
        <s v="Aarhus Søndre Provsti"/>
        <s v="Aarhus Vestre Provsti"/>
        <s v="Aarhus Nordre Provsti"/>
        <s v="Odder Provsti"/>
        <s v="Aarhus Domprovsti"/>
        <s v="Randers Søndre Provsti"/>
        <s v="Hobro-Mariager Provsti"/>
        <s v="Randers Nordre Provsti"/>
        <s v="Norddjurs Provsti"/>
        <s v="Syddjurs Provsti"/>
        <s v="Vesthimmerlands Provsti"/>
        <s v="Aalborg Vestre Provsti"/>
        <s v="Rebild Provsti"/>
        <s v="Hadsund Provsti"/>
        <s v="Aalborg Østre Provsti"/>
        <s v="Aalborg Budolfi Provsti"/>
        <s v="Aalborg Nordre Provsti"/>
        <s v="Jammerbugt Provsti"/>
        <s v="Brønderslev Provsti"/>
        <s v="Hjørring Søndre Provsti"/>
        <s v="Hjørring Nordre Provsti"/>
        <s v="Frederikshavn Provsti"/>
        <s v="Viborg Østre Provsti"/>
        <s v="Viborg Domprovsti"/>
        <s v="Skive Provsti"/>
        <s v="Salling Provsti"/>
        <s v="Thisted Provsti"/>
        <s v="Sydthy Provsti"/>
        <s v="Morsø Provsti"/>
        <s v="Varde Provsti"/>
        <s v="Ringkøbing Provsti"/>
        <s v="Holstebro Provsti"/>
        <s v="Herning Nordre Provsti"/>
        <s v="Skjern Provsti"/>
        <s v="Herning Søndre Provsti"/>
        <s v="Struer Provsti"/>
        <s v="Lemvig Provsti"/>
        <s v="Ribe Domprovsti"/>
        <s v="Malt Provsti"/>
        <s v="Skads Provsti"/>
        <s v="Haderslev Domprovsti"/>
        <s v="Tønder Provsti"/>
        <s v="Sønderborg Provsti"/>
        <s v="Aabenraa Provsti"/>
        <m/>
      </sharedItems>
    </cacheField>
    <cacheField name="MRK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 B. Kristiansen" refreshedDate="46169.474006944445" createdVersion="8" refreshedVersion="8" minRefreshableVersion="3" recordCount="1146" xr:uid="{9F80AD1B-102F-4563-B8DA-5DB67848E75A}">
  <cacheSource type="worksheet">
    <worksheetSource ref="A1:C1048576" sheet="Antal_pastorater_pr_Provsti" r:id="rId2"/>
  </cacheSource>
  <cacheFields count="3">
    <cacheField name="Stift" numFmtId="0">
      <sharedItems containsBlank="1" count="11">
        <s v="Fyens Stift"/>
        <s v="Haderslev Stift"/>
        <s v="Helsingør Stift"/>
        <s v="Københavns Stift"/>
        <s v="Lolland-Falsters Stift"/>
        <s v="Ribe Stift"/>
        <s v="Roskilde Stift"/>
        <s v="Viborg Stift"/>
        <s v="Aalborg Stift"/>
        <s v="Aarhus Stift"/>
        <m/>
      </sharedItems>
    </cacheField>
    <cacheField name="Provsti" numFmtId="0">
      <sharedItems containsBlank="1" count="103">
        <s v="Assens Provsti"/>
        <s v="Bogense Provsti"/>
        <s v="Fåborg Provsti"/>
        <s v="Hjallese Provsti"/>
        <s v="Kerteminde-Nyborg Provsti"/>
        <s v="Langeland-Ærø Provsti"/>
        <s v="Middelfart Provsti"/>
        <s v="Midtfyn Provsti"/>
        <s v="Odense Sankt Knuds Provsti"/>
        <s v="Svendborg Provsti"/>
        <s v="Fredericia Provsti"/>
        <s v="Haderslev Domprovsti"/>
        <s v="Hedensted Provsti"/>
        <s v="Kolding Provsti"/>
        <s v="Sønderborg Provsti"/>
        <s v="Vejle Provsti"/>
        <s v="Aabenraa Provsti"/>
        <s v="Ballerup-Furesø Provsti"/>
        <s v="Fredensborg Provsti"/>
        <s v="Frederikssund Provsti"/>
        <s v="Frederiksværk Provsti"/>
        <s v="Gentofte Provsti"/>
        <s v="Gladsaxe-Herlev Provsti"/>
        <s v="Glostrup Provsti"/>
        <s v="Helsingør Domprovsti"/>
        <s v="Hillerød Provsti"/>
        <s v="Høje Taastrup Provsti"/>
        <s v="Kongens Lyngby Provsti"/>
        <s v="Rudersdal Provsti"/>
        <s v="Rødovre-Hvidovre Provsti"/>
        <s v="Amagerbro Provsti"/>
        <s v="Amagerland Provsti"/>
        <s v="Bispebjerg-Brønshøj Provsti"/>
        <s v="Bornholms Provsti"/>
        <s v="Frederiksberg Provsti"/>
        <s v="Holmens og Østerbro Provsti"/>
        <s v="Nørrebro Provsti"/>
        <s v="Valby-Vanløse Provsti"/>
        <s v="Vor Frue-Vesterbro Provsti"/>
        <s v="Falster Provsti"/>
        <s v="Lolland Vestre Provsti"/>
        <s v="Lolland Østre Provsti"/>
        <s v="Maribo Domprovsti"/>
        <s v="Grene Provsti"/>
        <s v="Malt Provsti"/>
        <s v="Ribe Domprovsti"/>
        <s v="Ringkøbing Provsti"/>
        <s v="Skads Provsti"/>
        <s v="Skjern Provsti"/>
        <s v="Tønder Provsti"/>
        <s v="Varde Provsti"/>
        <s v="Greve-Solrød Provsti"/>
        <s v="Holbæk Provsti"/>
        <s v="Kalundborg Provsti"/>
        <s v="Køge Provsti"/>
        <s v="Lejre Provsti"/>
        <s v="Næstved Provsti"/>
        <s v="Odsherred Provsti"/>
        <s v="Ringsted-Sorø Provsti"/>
        <s v="Roskilde Domprovsti"/>
        <s v="Slagelse Provsti"/>
        <s v="Stege-Vordingborg Provsti"/>
        <s v="Tryggevælde Provsti"/>
        <s v="Herning Nordre Provsti"/>
        <s v="Herning Søndre Provsti"/>
        <s v="Holstebro Provsti"/>
        <s v="Ikast-Brande Provsti"/>
        <s v="Lemvig Provsti"/>
        <s v="Salling Provsti"/>
        <s v="Skive Provsti"/>
        <s v="Struer Provsti"/>
        <s v="Vesthimmerlands Provsti"/>
        <s v="Viborg Domprovsti"/>
        <s v="Viborg Østre Provsti"/>
        <s v="Brønderslev Provsti"/>
        <s v="Frederikshavn Provsti"/>
        <s v="Hadsund Provsti"/>
        <s v="Hjørring Nordre Provsti"/>
        <s v="Hjørring Søndre Provsti"/>
        <s v="Jammerbugt Provsti"/>
        <s v="Morsø Provsti"/>
        <s v="Rebild Provsti"/>
        <s v="Sydthy Provsti"/>
        <s v="Thisted Provsti"/>
        <s v="Aalborg Budolfi Provsti"/>
        <s v="Aalborg Nordre Provsti"/>
        <s v="Aalborg Vestre Provsti"/>
        <s v="Aalborg Østre Provsti"/>
        <s v="Favrskov Provsti"/>
        <s v="Hobro-Mariager Provsti"/>
        <s v="Horsens Provsti"/>
        <s v="Norddjurs Provsti"/>
        <s v="Odder Provsti"/>
        <s v="Randers Nordre Provsti"/>
        <s v="Randers Søndre Provsti"/>
        <s v="Silkeborg Provsti"/>
        <s v="Skanderborg Provsti"/>
        <s v="Syddjurs Provsti"/>
        <s v="Aarhus Domprovsti"/>
        <s v="Aarhus Nordre Provsti"/>
        <s v="Aarhus Søndre Provsti"/>
        <s v="Aarhus Vestre Provsti"/>
        <m/>
      </sharedItems>
    </cacheField>
    <cacheField name="Pastoratn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 B. Kristiansen" refreshedDate="46169.478918055553" createdVersion="8" refreshedVersion="8" minRefreshableVersion="3" recordCount="2658" xr:uid="{DE5E3E08-3B31-4866-B6A1-BB4C1699B315}">
  <cacheSource type="worksheet">
    <worksheetSource ref="A1:F1048576" sheet="Antal_kirker_pr_provsti" r:id="rId2"/>
  </cacheSource>
  <cacheFields count="6">
    <cacheField name="Stift" numFmtId="0">
      <sharedItems containsBlank="1" count="11">
        <s v="Københavns Stift"/>
        <s v="Helsingør Stift"/>
        <s v="Roskilde Stift"/>
        <s v="Lolland-Falsters Stift"/>
        <s v="Fyens Stift"/>
        <s v="Aalborg Stift"/>
        <s v="Viborg Stift"/>
        <s v="Aarhus Stift"/>
        <s v="Ribe Stift"/>
        <s v="Haderslev Stift"/>
        <m/>
      </sharedItems>
    </cacheField>
    <cacheField name="Provsti" numFmtId="0">
      <sharedItems containsBlank="1" count="103">
        <s v="Nørrebro Provsti"/>
        <s v="Frederiksberg Provsti"/>
        <s v="Bornholms Provsti"/>
        <s v="Bispebjerg-Brønshøj Provsti"/>
        <s v="Valby-Vanløse Provsti"/>
        <s v="Amagerbro Provsti"/>
        <s v="Amagerland Provsti"/>
        <s v="Vor Frue-Vesterbro Provsti"/>
        <s v="Holmens og Østerbro Provsti"/>
        <s v="Gladsaxe-Herlev Provsti"/>
        <s v="Gentofte Provsti"/>
        <s v="Glostrup Provsti"/>
        <s v="Helsingør Domprovsti"/>
        <s v="Fredensborg Provsti"/>
        <s v="Frederikssund Provsti"/>
        <s v="Frederiksværk Provsti"/>
        <s v="Rødovre-Hvidovre Provsti"/>
        <s v="Ballerup-Furesø Provsti"/>
        <s v="Kongens Lyngby Provsti"/>
        <s v="Hillerød Provsti"/>
        <s v="Høje Taastrup Provsti"/>
        <s v="Rudersdal Provsti"/>
        <s v="Roskilde Domprovsti"/>
        <s v="Lejre Provsti"/>
        <s v="Køge Provsti"/>
        <s v="Kalundborg Provsti"/>
        <s v="Holbæk Provsti"/>
        <s v="Odsherred Provsti"/>
        <s v="Ringsted-Sorø Provsti"/>
        <s v="Tryggevælde Provsti"/>
        <s v="Næstved Provsti"/>
        <s v="Stege-Vordingborg Provsti"/>
        <s v="Greve-Solrød Provsti"/>
        <s v="Slagelse Provsti"/>
        <s v="Lolland Vestre Provsti"/>
        <s v="Maribo Domprovsti"/>
        <s v="Lolland Østre Provsti"/>
        <s v="Falster Provsti"/>
        <s v="Odense Sankt Knuds Provsti"/>
        <s v="Bogense Provsti"/>
        <s v="Assens Provsti"/>
        <s v="Middelfart Provsti"/>
        <s v="Svendborg Provsti"/>
        <s v="Fåborg Provsti"/>
        <s v="Hjallese Provsti"/>
        <s v="Midtfyn Provsti"/>
        <s v="Langeland-Ærø Provsti"/>
        <s v="Kerteminde-Nyborg Provsti"/>
        <s v="Aalborg Budolfi Provsti"/>
        <s v="Aalborg Nordre Provsti"/>
        <s v="Aalborg Vestre Provsti"/>
        <s v="Hadsund Provsti"/>
        <s v="Brønderslev Provsti"/>
        <s v="Hjørring Nordre Provsti"/>
        <s v="Frederikshavn Provsti"/>
        <s v="Jammerbugt Provsti"/>
        <s v="Thisted Provsti"/>
        <s v="Sydthy Provsti"/>
        <s v="Morsø Provsti"/>
        <s v="Aalborg Østre Provsti"/>
        <s v="Hjørring Søndre Provsti"/>
        <s v="Rebild Provsti"/>
        <s v="Viborg Domprovsti"/>
        <s v="Viborg Østre Provsti"/>
        <s v="Salling Provsti"/>
        <s v="Skive Provsti"/>
        <s v="Vesthimmerlands Provsti"/>
        <s v="Herning Nordre Provsti"/>
        <s v="Holstebro Provsti"/>
        <s v="Herning Søndre Provsti"/>
        <s v="Lemvig Provsti"/>
        <s v="Ikast-Brande Provsti"/>
        <s v="Struer Provsti"/>
        <s v="Aarhus Domprovsti"/>
        <s v="Odder Provsti"/>
        <s v="Skanderborg Provsti"/>
        <s v="Horsens Provsti"/>
        <s v="Silkeborg Provsti"/>
        <s v="Randers Søndre Provsti"/>
        <s v="Hobro-Mariager Provsti"/>
        <s v="Syddjurs Provsti"/>
        <s v="Norddjurs Provsti"/>
        <s v="Favrskov Provsti"/>
        <s v="Aarhus Nordre Provsti"/>
        <s v="Aarhus Søndre Provsti"/>
        <s v="Randers Nordre Provsti"/>
        <s v="Aarhus Vestre Provsti"/>
        <s v="Ribe Domprovsti"/>
        <s v="Malt Provsti"/>
        <s v="Varde Provsti"/>
        <s v="Skads Provsti"/>
        <s v="Skjern Provsti"/>
        <s v="Ringkøbing Provsti"/>
        <s v="Grene Provsti"/>
        <s v="Tønder Provsti"/>
        <s v="Haderslev Domprovsti"/>
        <s v="Aabenraa Provsti"/>
        <s v="Sønderborg Provsti"/>
        <s v="Fredericia Provsti"/>
        <s v="Kolding Provsti"/>
        <s v="Vejle Provsti"/>
        <s v="Hedensted Provsti"/>
        <m/>
      </sharedItems>
    </cacheField>
    <cacheField name="Sognekode" numFmtId="0">
      <sharedItems containsBlank="1"/>
    </cacheField>
    <cacheField name="Sogn" numFmtId="0">
      <sharedItems containsBlank="1"/>
    </cacheField>
    <cacheField name="Navn" numFmtId="0">
      <sharedItems containsBlank="1" count="2381">
        <s v="Bethlehemskirken"/>
        <s v="Anna Kirke"/>
        <s v="Sankt Stefans Kirke"/>
        <s v="Kingos Kirke"/>
        <s v="Hellig Kors Kirke"/>
        <s v="Brorsons Kirke"/>
        <s v="Rigshospitalets Kapel"/>
        <s v="Rigshospitalets Kirke"/>
        <s v="Kirkesalen, Blegdamsvejens Arrest"/>
        <s v="Simeons Kirke"/>
        <s v="Sankt Johannes Kirke"/>
        <s v="De Gamles Bys Kirke"/>
        <s v="Sankt Lukas Kirke"/>
        <s v="Emmauskirken"/>
        <s v="Solbjerg Kirke"/>
        <s v="Lindevang Kirke"/>
        <s v="Flintholm Kirke"/>
        <s v="Akaciegårdens Kapel, Skellet, Frederiksberg"/>
        <s v="De Døves Kirke"/>
        <s v="Sankt Thomas Kirke"/>
        <s v="Mariendals Kirke"/>
        <s v="Frederiksberg Hospitalskirke"/>
        <s v="Godthaabskirken"/>
        <s v="Frederiksberg Hospitals Kapel"/>
        <s v="Sankt Markus Kirke"/>
        <s v="Immanuelskirken"/>
        <s v="Frederiksberg Slotskirke"/>
        <s v="Frederiksberg Kirke"/>
        <s v="Søndermark Krematoriums Lille Sal"/>
        <s v="Søndermark Krematoriums Store Sal"/>
        <s v="Sankt Nicolai Kirke"/>
        <s v="Rønne Kapel"/>
        <s v="Bornholms Hospitals Kapel"/>
        <s v="Sankt Knuds Kirke"/>
        <s v="Vestermarie Kirke"/>
        <s v="Nylars Kirke"/>
        <s v="Ny Kirke"/>
        <s v="Hasle Kirke"/>
        <s v="Hasle Strandkirke"/>
        <s v="Hasle Kapel, Bornholm"/>
        <s v="Ruts Kirke"/>
        <s v="Sankt Ols Kirke"/>
        <s v="Tejn Kirke"/>
        <s v="Allinge Kapel"/>
        <s v="Allinge Kirke"/>
        <s v="Sankt Clemens Kirke"/>
        <s v="Rø Kirke"/>
        <s v="Sankt Ibs Kirke"/>
        <s v="Svaneke Kirke"/>
        <s v="Østerlars Kirke"/>
        <s v="Gudhjem Kirke"/>
        <s v="Østermarie Kirke"/>
        <s v="Christiansø Kirke"/>
        <s v="Aa Kirke"/>
        <s v="Sankt Bodils Kirke"/>
        <s v="Nexø Kirkes kapel"/>
        <s v="Nexø Kirke"/>
        <s v="Sankt Povls Kirke"/>
        <s v="Sankt Peders Kirke"/>
        <s v="Ansgarkirken"/>
        <s v="Kapernaumskirken"/>
        <s v="Tagensbo Kirke"/>
        <s v="Bispebjerg Hospital"/>
        <s v="Grundtvigs Kirke"/>
        <s v="Bispebjerg Hospitals Kapel"/>
        <s v="Bispebjerg Kirkegårds Søndre Kapel"/>
        <s v="Emdrup Kirke"/>
        <s v="Husum Kirke"/>
        <s v="Brønshøj Kirke"/>
        <s v="Husumvold Kirke"/>
        <s v="Tingbjerg Kirke"/>
        <s v="Utterslev Kirke"/>
        <s v="Bellahøj Kirke"/>
        <s v="Jesuskirken"/>
        <s v="Timotheus Kirke"/>
        <s v="Vigerslev Kirke"/>
        <s v="Aalholm Kirke"/>
        <s v="Hyltebjerg Kirkesal"/>
        <s v="Københavns Højskoleforening, Haven"/>
        <s v="Hyltebjerg Kirke"/>
        <s v="Vanløse Kirke"/>
        <s v="Adventskirken"/>
        <s v="Grøndalskirken"/>
        <s v="Margrethekirken"/>
        <s v="Johannes Døbers Kirke"/>
        <s v="Christians Kirke"/>
        <s v="Vor Frelsers Kirke"/>
        <s v="Nathanaels Kirke"/>
        <s v="Sundby Kirke"/>
        <s v="Allehelgens Kirke"/>
        <s v="Filips Kirke"/>
        <s v="Amager Hospitals Kapel"/>
        <s v="Sundby Kirkegårds Kapel"/>
        <s v="Sundkirken"/>
        <s v="Højdevangskirken"/>
        <s v="Simon Peters Kirke"/>
        <s v="Solvang Kirke"/>
        <s v="Ørestad Plejecenter"/>
        <s v="Peder Lykke Centrets Kapel"/>
        <s v="Hans Tausens Kirke"/>
        <s v="Kirken i Ørestad"/>
        <s v="Tårnby Kirke"/>
        <s v="Kastrup Kirke"/>
        <s v="Kastrup Kirkegårds Kapel"/>
        <s v="Store Magleby Kirkes Kapel"/>
        <s v="Store Magleby Kirke"/>
        <s v="Dragør kirkes kapel"/>
        <s v="Dragør Kirke"/>
        <s v="Korsvejskirken"/>
        <s v="Skelgårdskirken"/>
        <s v="Helligåndskirken"/>
        <s v="Vartov Kirke"/>
        <s v="Trinitatis Kirke"/>
        <s v="Fredens Kirke"/>
        <s v="Nazaret Kirke"/>
        <s v="Kirkeskibet 2450"/>
        <s v="Frederiksholm Kirke"/>
        <s v="Vor Frue Kirke"/>
        <s v="Kommunehospitalets Kirkesal"/>
        <s v="Sankt Andreas Kirke"/>
        <s v="Vestre Fængsel Kirke"/>
        <s v="Vestre Kirkegårds Kapel, København"/>
        <s v="Eliaskirken"/>
        <s v="Mariakirken"/>
        <s v="Gethsemane Kirke"/>
        <s v="Apostelkirken"/>
        <s v="Sankt Matthæus Kirke"/>
        <s v="Kristkirken"/>
        <s v="Enghave Kirke"/>
        <s v="Sankt Petri Tyske Kirke"/>
        <s v="Christiansborg Slotskirke"/>
        <s v="Sømandskirken"/>
        <s v="Holmens Kirkegårds Kapel"/>
        <s v="Holmens Kirke"/>
        <s v="Garnisonskirken"/>
        <s v="Frederiks Kirke"/>
        <s v="Sankt Pauls Kirke"/>
        <s v="Esajas Kirke"/>
        <s v="Kastelskirken"/>
        <s v="Garnisons Kirkegårds kapel"/>
        <s v="Lutherkirken"/>
        <s v="Frihavnskirken"/>
        <s v="Sankt Jakobs Kirke"/>
        <s v="Tiny Church - Tolvkanten"/>
        <s v="Hans Egedes Kirke"/>
        <s v="Taksigelseskirken"/>
        <s v="Kildevældskirken"/>
        <s v="Sions Kirke"/>
        <s v="Lundehuskirken"/>
        <s v="Davidskirken"/>
        <s v="Gladsaxe Kirke"/>
        <s v="Gladsaxe Kirkegårdskapel"/>
        <s v="Søborg Kirke"/>
        <s v="Bagsværd Kirke"/>
        <s v="Stengård Kirke"/>
        <s v="Mørkhøj Kirke"/>
        <s v="Herlev Kirke"/>
        <s v="Herlev Hospitals Kapel"/>
        <s v="Præstebro Kirke"/>
        <s v="Søborgmagle Kirke"/>
        <s v="Haraldskirken"/>
        <s v="Buddinge Kirke"/>
        <s v="Lindehøj Kirke"/>
        <s v="Birkholm Kirkesal"/>
        <s v="Helleruplund Kirke"/>
        <s v="Sankt Lukas Stiftelsens Kirke"/>
        <s v="Sankt Lukas Stiftelsens Kapel"/>
        <s v="Kapellet, Gentofte Hospital"/>
        <s v="Gentofte Kirke"/>
        <s v="Jægersborg Kirke"/>
        <s v="Vangede Kirke"/>
        <s v="Mariebjerg Kapel"/>
        <s v="Dyssegårdskirken"/>
        <s v="Ordrup Kirke"/>
        <s v="Ordrup kirkegårds kapel"/>
        <s v="Skovshoved Kirke"/>
        <s v="Hellerup Kirke"/>
        <s v="Messiaskirken"/>
        <s v="Brøndbyvester Kirke"/>
        <s v="Gilhøjhjemmet"/>
        <s v="Annexgården, Brøndbyøster Kirke"/>
        <s v="Brøndbyøster Kirke"/>
        <s v="Østervangkirken"/>
        <s v="Glostrup Krematoriums Kapel"/>
        <s v="Glostrup Hospitals Kapel"/>
        <s v="Glostrup Kirke"/>
        <s v="Herstedøster Kirke"/>
        <s v="Helligtrekongers Kirke"/>
        <s v="Vallensbæk Kirke"/>
        <s v="Herstedvester Kirke"/>
        <s v="Birkelund Kirke"/>
        <s v="Brøndby Strand Kirke"/>
        <s v="Nygårdskirken"/>
        <s v="Holsbjerg Kirke"/>
        <s v="Opstandelseskirken"/>
        <s v="Helsingør Kirkegårds Kapel"/>
        <s v="Helsingør Domkirke, Sankt Olai Kirke"/>
        <s v="Sankt Mariæ Kirke"/>
        <s v="Kronborg Slotskirke"/>
        <s v="Vestervang Kirke"/>
        <s v="Tikøb Kirke"/>
        <s v="Hornbæk Kirke"/>
        <s v="Hellebæk Kirke"/>
        <s v="Egebæksvang Kirke"/>
        <s v="Sthens Kirke"/>
        <s v="Mørdrup Kirke"/>
        <s v="Gurre Kirke"/>
        <s v="Torpen Kapel"/>
        <s v="Humlebæk Kirke"/>
        <s v="Hørsholm Kirke"/>
        <s v="Hørsholm Kirkegårdskapel"/>
        <s v="Karlebo Kirke"/>
        <s v="Egedal Kirke"/>
        <s v="Nivå Kirke"/>
        <s v="Rungsted Kirke"/>
        <s v="Kokkedal Kirke"/>
        <s v="Fredensborg Slotskirke"/>
        <s v="Grønholt Kirke"/>
        <s v="Asminderød Kirke"/>
        <s v="Asminderød Kirkes Kapel"/>
        <s v="Ledøje Kirke"/>
        <s v="Smørum Kirke"/>
        <s v="Udlejre Kirke"/>
        <s v="Ølstykke Kirke"/>
        <s v="Stenløse Kirke"/>
        <s v="Veksø Kirke"/>
        <s v="Slagslunde Kirke"/>
        <s v="Ganløse Kirke"/>
        <s v="Frederikssund Kirke"/>
        <s v="Oppe Sundby Sognehus"/>
        <s v="Oppe Sundby Kirke"/>
        <s v="Snostrup Kirke"/>
        <s v="Slangerup Kirke"/>
        <s v="Græse Kirke"/>
        <s v="Sigerslevvester Kirke"/>
        <s v="Jørlunde Kirke"/>
        <s v="Gerlev Kirke"/>
        <s v="Draaby Kirke"/>
        <s v="Skibby Kirke"/>
        <s v="Ferslev Kirke"/>
        <s v="Vellerup Kirke"/>
        <s v="Skuldelev Kirke"/>
        <s v="Selsø Kirke"/>
        <s v="Kyndby Kirke"/>
        <s v="Krogstrup Kirke"/>
        <s v="Islebjerg Kirke"/>
        <s v="Frederikssund Hospitalskapel"/>
        <s v="Skoven Kirke"/>
        <s v="Blistrup Kirke"/>
        <s v="Smidstrup Strandkirke"/>
        <s v="Kirkeladen i Blistrup"/>
        <s v="Vejby Kirke"/>
        <s v="Tibirke Kirke"/>
        <s v="Ramløse Kirke"/>
        <s v="Annisse Kirke"/>
        <s v="Kregme Kirke"/>
        <s v="Kregme Kapel"/>
        <s v="Ølsted Kirke"/>
        <s v="Melby Kirke"/>
        <s v="Torup Kirke"/>
        <s v="Lynæs Kirke"/>
        <s v="Esbønderup Kirke"/>
        <s v="Gilleleje Kirke"/>
        <s v="Gilleleje Kirkes kapel"/>
        <s v="Græsted Kirke"/>
        <s v="Mårum Kirke"/>
        <s v="Helsinge Kirke"/>
        <s v="Valby Kirke"/>
        <s v="Frederiksværk Kirke"/>
        <s v="Vinderød Kirke"/>
        <s v="Vinderød Kapel"/>
        <s v="Villingerød Kirke"/>
        <s v="Rødovre Kirke"/>
        <s v="Grøndalslund Kirke"/>
        <s v="Islev Kirke"/>
        <s v="Ungdomsbyens Kirke"/>
        <s v="Plejehjemmet Broparkens Kirkesal"/>
        <s v="Hendriksholm Kirke"/>
        <s v="Hvidovre Kirke"/>
        <s v="Hvidovre Hospitals Kapel"/>
        <s v="Maria Magdalene Kirken"/>
        <s v="Svendebjerghaves kapel"/>
        <s v="Strandmarkskirken"/>
        <s v="Risbjerg Kirke"/>
        <s v="Risbjerg Kapel"/>
        <s v="Avedøre Kirke"/>
        <s v="Værløse Kirke"/>
        <s v="Kirke Værløse Kirke"/>
        <s v="Ballerup Kirke"/>
        <s v="Skovvejskirken"/>
        <s v="Skovvejskirkens Kapel"/>
        <s v="Måløv Kirke"/>
        <s v="Skovlunde Kirke"/>
        <s v="Farum Kirke"/>
        <s v="Stavnsholtkirken"/>
        <s v="Farum Kirkegårds Kapel"/>
        <s v="Vestkirken"/>
        <s v="Hedegårdskirken"/>
        <s v="Hareskov Kirke"/>
        <s v="Lyngby Kirke"/>
        <s v="Sorgenfri Kirkegårds Kapel"/>
        <s v="Christianskirken"/>
        <s v="Virum Kirke"/>
        <s v="Sorgenfri Kirke"/>
        <s v="Lundtofte Kirke"/>
        <s v="Lyngby Parkkirkegårds Store Kapel"/>
        <s v="Geels Kirkesal"/>
        <s v="Lyngby Parkkirkegårds Lille Kapel"/>
        <s v="Taarbæk Kirke"/>
        <s v="Tjæreby Kirke"/>
        <s v="Alsønderup Kirke"/>
        <s v="Skævinge Kirke"/>
        <s v="Lille Lyngby Kirke"/>
        <s v="Strø Kirke"/>
        <s v="Gørløse Kirke"/>
        <s v="Hillerød Kirke"/>
        <s v="Kapel"/>
        <s v="Nørre Herlev Kirke"/>
        <s v="Præstevang Kirke"/>
        <s v="Skansekirkegårdens Kapel"/>
        <s v="Kapellet, Nordsjællands Hospital - Hillerød"/>
        <s v="Sygehuskapellet"/>
        <s v="Uvelse Kirke"/>
        <s v="Lynge Kirke"/>
        <s v="Uggeløse Kirke"/>
        <s v="Nødebo Kirke"/>
        <s v="Frederiksborg Slotskirke"/>
        <s v="Nyhuse Kapel"/>
        <s v="Blovstrød Kirke"/>
        <s v="Lillerød Kirke"/>
        <s v="Ullerød Kirke"/>
        <s v="Grønnevang Kirke"/>
        <s v="Engholmkirken"/>
        <s v="Gadevang Kirke"/>
        <s v="Torslunde Kirke"/>
        <s v="Ishøj Kirke"/>
        <s v="Vejleå Kirke"/>
        <s v="Høje Taastrup Kirke"/>
        <s v="Taastrup Nykirke"/>
        <s v="Sognets Hus ved Fløng kirke"/>
        <s v="Fløng Kirke"/>
        <s v="Sengeløse Kirke"/>
        <s v="Reerslev Kirke"/>
        <s v="Rønnevang Kirke"/>
        <s v="Søllerød Kirke"/>
        <s v="Vedbæk Kirkegårds Kapel"/>
        <s v="Vedbæk Kirke"/>
        <s v="Holte Kirke"/>
        <s v="Gammel Holte Kirke"/>
        <s v="Hegnsgården kapel"/>
        <s v="Nærum Kirke"/>
        <s v="Bistrup Kirke"/>
        <s v="Assistens Søholm kirkegård, kapel"/>
        <s v="Høsterkøb Kirke"/>
        <s v="Birkerød Kirke"/>
        <s v="Roskilde Domkirke"/>
        <s v="Østre Kirkegårdskapel"/>
        <s v="Kapellet, Sjællands Universitetshospital, Roskilde"/>
        <s v="Jakobskirken"/>
        <s v="Sankt Hans Hospitalskirke"/>
        <s v="Sankt Hans Kapel, Roskilde"/>
        <s v="Sankt Jørgensbjerg Kirke"/>
        <s v="Sankt Jørgensbjerg Kapel"/>
        <s v="Himmelev Kirke"/>
        <s v="Trekroner Kirke"/>
        <s v="Roskilde Kloster Kirke"/>
        <s v="Hvedstrup Kirke"/>
        <s v="Svogerslev Kirke"/>
        <s v="Ågerup Kirke"/>
        <s v="Kirkerup Kirke"/>
        <s v="Jyllinge Kirke"/>
        <s v="Gundsømagle Kirke"/>
        <s v="Vindinge Kirke"/>
        <s v="Snoldelev Kirke"/>
        <s v="Gadstrup Kirke"/>
        <s v="Syv Kirke"/>
        <s v="Ørsted Kirke"/>
        <s v="Dåstrup Kirke"/>
        <s v="Herslev Kirke"/>
        <s v="Gevninge Kirke"/>
        <s v="Kornerup Kirke"/>
        <s v="Osted Kirke"/>
        <s v="Allerslev Kirke"/>
        <s v="Plejecentret Bøgebakken"/>
        <s v="Hvalsø Kirke"/>
        <s v="Særløse Kirke"/>
        <s v="Kirke Saaby Kirke"/>
        <s v="Kisserup Kirke"/>
        <s v="Rye Kirke"/>
        <s v="Sonnerup Kirke"/>
        <s v="Kirke Hyllinge Kirke"/>
        <s v="Lyndby Kirke"/>
        <s v="Sæby Kirke"/>
        <s v="Gershøj Kirke"/>
        <s v="Rorup Kirke"/>
        <s v="Glim Kirke"/>
        <s v="Køge Kapel"/>
        <s v="Ølsemagle Kirke"/>
        <s v="Borup Kirke"/>
        <s v="Kimmerslev Kirke"/>
        <s v="Ejby Kirke"/>
        <s v="Nørre Dalby Kirke"/>
        <s v="Højelse Kirke"/>
        <s v="Ølby Kirke"/>
        <s v="Kapellet, Sjællands Universitetshospital, Køge"/>
        <s v="Lellinge Kirke"/>
        <s v="Lidemark Kirke"/>
        <s v="Bjæverskov Kirke"/>
        <s v="Vollerslev Kirke"/>
        <s v="Gørslev Kirke"/>
        <s v="Herfølge Kirke"/>
        <s v="Ingelstrup kapel"/>
        <s v="Sædder Kirke"/>
        <s v="Boholte Kirke"/>
        <s v="Ubby Kirke"/>
        <s v="Svallerup Kirke"/>
        <s v="Store Fuglede Kirke"/>
        <s v="Lille Fuglede Kirke"/>
        <s v="Hallenslev Kirke"/>
        <s v="Buerup Kirke"/>
        <s v="Ørslev Kirke"/>
        <s v="Gierslev Kirke"/>
        <s v="Vester Løve Kirke"/>
        <s v="Finderup Kirke"/>
        <s v="Kirke Helsinge Kirke"/>
        <s v="Drøsselbjerg Kirke"/>
        <s v="Værslev Kirke"/>
        <s v="Jorløse Kirke"/>
        <s v="Sejerø Kirke"/>
        <s v="Raklev Kirke"/>
        <s v="Røsnæs Kirke"/>
        <s v="Bethlehemskirken, Ubberup Valgmenighed"/>
        <s v="Tømmerup Kirke"/>
        <s v="Årby Kirke"/>
        <s v="Rørby Kirke"/>
        <s v="Nyvangs Kirke"/>
        <s v="Kalundborg Kapel"/>
        <s v="Reersø Kirke"/>
        <s v="Viskinge Kirke"/>
        <s v="Aunsø Kirke"/>
        <s v="Aunsø Gamle Kirke"/>
        <s v="Bregninge Kirke"/>
        <s v="Alleshave Kirke"/>
        <s v="Bjergsted Kirke"/>
        <s v="Nekselø Kirke"/>
        <s v="Føllenslev Kirke"/>
        <s v="Særslev Kirke"/>
        <s v="Bakkendrup Kirke"/>
        <s v="Gørlev Kirke"/>
        <s v="Orø Kirke"/>
        <s v="Margrethe-Kapellet"/>
        <s v="Sankt Stefanskirke"/>
        <s v="Østre Kapel"/>
        <s v="Sankt Nikolai Kirke"/>
        <s v="Tveje Merløse Kirke"/>
        <s v="Kapellet på Holbæk Sygehus"/>
        <s v="Nørre Jernløse Kirke"/>
        <s v="Kvanløse Kirke"/>
        <s v="Sønder Jernløse Kirke"/>
        <s v="Søstrup Kirke"/>
        <s v="Tølløse Kirke"/>
        <s v="Soderup Kirke"/>
        <s v="Kirke Eskilstrup Kirke"/>
        <s v="Store Tåstrup Kirke"/>
        <s v="Ugerløse Kirke"/>
        <s v="Hagested Kirke"/>
        <s v="Gislinge Kirke"/>
        <s v="Kundby Kirke"/>
        <s v="Jyderup Kirke"/>
        <s v="Holmstrup Kirke"/>
        <s v="Svinninge Kirke"/>
        <s v="Hjembæk Kirke"/>
        <s v="Butterup Kirke"/>
        <s v="Tuse Kirke"/>
        <s v="Skamstrup Kirke"/>
        <s v="Frydendal Kirke"/>
        <s v="Mørkøv Kirke"/>
        <s v="Stigs Bjergby Kirke"/>
        <s v="Udby Kirke"/>
        <s v="Hørby Kirke"/>
        <s v="Grandløse Kirke"/>
        <s v="Sønder Asmindrup Kirke"/>
        <s v="Søndersted Kirke"/>
        <s v="Undløse Kirke"/>
        <s v="Vallekilde Kirke"/>
        <s v="Korskirken, Vallekilde Valgmenighed"/>
        <s v="Hørve Kirke"/>
        <s v="Nykøbing Sj. Kirkes Kapel"/>
        <s v="Anneberg Kirke"/>
        <s v="Amtshospitalets Kirke"/>
        <s v="Nykøbing Sj Kirke"/>
        <s v="Rørvig Kirke"/>
        <s v="Odden Kirke"/>
        <s v="Højby Kirkes Kapel"/>
        <s v="Højby Kirke"/>
        <s v="Vig Kirke"/>
        <s v="Nørre Asmindrup Kirke"/>
        <s v="Egebjerg Kirke"/>
        <s v="Grevinge Kirke"/>
        <s v="Asnæs Kirke"/>
        <s v="Dragsholm Kirke"/>
        <s v="Fårevejle Kirke"/>
        <s v="Lumsås Kirke"/>
        <s v="Ruds Vedby Kirke"/>
        <s v="Stenlille Kirke"/>
        <s v="Munke Bjergby Kirke"/>
        <s v="Bromme Kirke"/>
        <s v="Gyrstinge Kirke"/>
        <s v="Flinterup Kirke"/>
        <s v="Stenmagle Kirke"/>
        <s v="Bringstrup Kirke"/>
        <s v="Sigersted Kirke"/>
        <s v="Ringsted Kirkegårdskapel"/>
        <s v="Klostermarkskirken"/>
        <s v="Sankt Bendts Kirke"/>
        <s v="Benløse Kirke"/>
        <s v="Jystrup Kirke"/>
        <s v="Valsølille Kirke"/>
        <s v="Vigersted Kirke"/>
        <s v="Kværkeby Kirke"/>
        <s v="Nordrup Kirke"/>
        <s v="Farendløse Kirke"/>
        <s v="Vetterslev Kirke"/>
        <s v="Høm Kirke"/>
        <s v="Sneslev Kirke"/>
        <s v="Sorø Klosterkirkes Kapel"/>
        <s v="Sorø Klosterkirke"/>
        <s v="Pedersborg Kirke"/>
        <s v="Vester Broby Kirke"/>
        <s v="Alsted Kirke"/>
        <s v="Fjenneslev Kirke"/>
        <s v="Slaglille Kirke"/>
        <s v="Bjernede Kirke"/>
        <s v="Allindemagle Kirke"/>
        <s v="Haraldsted Kirke"/>
        <s v="Tersløse Kirke"/>
        <s v="Niløse Kirke"/>
        <s v="Skellebjerg Kirke"/>
        <s v="Kolonien Filadelfia Kirke"/>
        <s v="Skovkirken Kolonien Filadelfia"/>
        <s v="Øde Førslev Kirke"/>
        <s v="Terslev Kirke"/>
        <s v="Haslev Kapel"/>
        <s v="Haslev Kirke"/>
        <s v="Bregentved Slotskapel"/>
        <s v="Freerslev Kirke"/>
        <s v="Teestrup Kirke"/>
        <s v="Bråby Kirke"/>
        <s v="Lille Heddinge Kirke"/>
        <s v="Havnelev Kirke"/>
        <s v="Magleby Kirke"/>
        <s v="Holtug Kirke"/>
        <s v="Strøby Kirke"/>
        <s v="Varpelev Kirke"/>
        <s v="Vester Egede Kirke"/>
        <s v="Faxe Kirke"/>
        <s v="Hylleholt Kirke"/>
        <s v="Spjellerup Kirke"/>
        <s v="Smerup Kirke"/>
        <s v="Hellested Kirke"/>
        <s v="Vemmetofte Klosterkirke"/>
        <s v="Karise Kirke"/>
        <s v="Alslev Kirke"/>
        <s v="Dalby Kirke"/>
        <s v="Tureby Kirke"/>
        <s v="Ulse Kirke"/>
        <s v="Øster Egede Kirke"/>
        <s v="Kongsted Kirke"/>
        <s v="Roholte Kirke"/>
        <s v="Valløby Kirke"/>
        <s v="Hårlev Kirke"/>
        <s v="Himlingøje Kirke"/>
        <s v="Endeslev Kirke"/>
        <s v="Vråby Kirke"/>
        <s v="Sankt Katharina Kirke"/>
        <s v="Højerup Kirke"/>
        <s v="Lyderslev Kirke"/>
        <s v="Stevns Valgmenighed"/>
        <s v="Frøslev Kirke"/>
        <s v="Karrebæk Kirke"/>
        <s v="Fodby Kirke"/>
        <s v="Herlufsholm Kirke"/>
        <s v="Gunderslev Kirke"/>
        <s v="Hårslev Kirke"/>
        <s v="Ting Jellinge Kirke"/>
        <s v="Krummerup Kirke"/>
        <s v="Førslev Kirke"/>
        <s v="Vallensved Kirke"/>
        <s v="Marvede Kirke"/>
        <s v="Hyllinge Kirke"/>
        <s v="Kvislemark Kirke"/>
        <s v="Fyrendal Kirke"/>
        <s v="Tyvelse Kirke"/>
        <s v="Sandby Kirke"/>
        <s v="Vrangstrup Kirke"/>
        <s v="Sankt Peders Kapel"/>
        <s v="Everdrup Kirke"/>
        <s v="Snesere Kirke"/>
        <s v="Toksværd Kirke"/>
        <s v="Rønnebæk Kirke"/>
        <s v="Holme Olstrup Kirke"/>
        <s v="Næstelsø Kirke"/>
        <s v="Mogenstrup Kirke"/>
        <s v="Gavnø Slotskapel"/>
        <s v="Vejlø Kirke"/>
        <s v="Vester Egesborg Kirke"/>
        <s v="Hammer Kirke"/>
        <s v="Næstved Sygehus, Kapel"/>
        <s v="Næstved Østre Kapel"/>
        <s v="Sankt Mortens Kirke"/>
        <s v="Næstved gamle kapel"/>
        <s v="Aversi Kirke"/>
        <s v="Tybjerg Kirke"/>
        <s v="Herlufmagle Kirke"/>
        <s v="Fensmark Kirke"/>
        <s v="Rislev Kirke"/>
        <s v="Skelby Kirke"/>
        <s v="Sankt Jørgens Kirke"/>
        <s v="Holsted Kirke"/>
        <s v="Fuglebjerg Kirke"/>
        <s v="Haldagerlille Kirke"/>
        <s v="Tystrup Kirke"/>
        <s v="Glumsø Kirke"/>
        <s v="Bavelse Kirke"/>
        <s v="Næsby Kirke"/>
        <s v="Præstø Kirke"/>
        <s v="Præstø Kapel"/>
        <s v="Skibinge Kirke"/>
        <s v="Vordingborg Kirke"/>
        <s v="Kirkekapel på Vordingborg Gl. Kirkegård"/>
        <s v="Jungshoved Kirke"/>
        <s v="Bårse Kirke"/>
        <s v="Beldringe Kirke"/>
        <s v="Øster Egesborg Kirke"/>
        <s v="Mern Kirke"/>
        <s v="Kalvehave Kirke"/>
        <s v="Stege Kirke"/>
        <s v="Stege Kirkegårds Kapel"/>
        <s v="Nyord Kirke"/>
        <s v="Keldby Kirke"/>
        <s v="Elmelunde Kirke"/>
        <s v="Borre Kirke"/>
        <s v="Damsholte Kirke"/>
        <s v="Fanefjord Kirke"/>
        <s v="Lundby Kirke"/>
        <s v="Køng Kirke"/>
        <s v="Sværdborg Kirke"/>
        <s v="Bogø Kirke"/>
        <s v="Stensby Kirke"/>
        <s v="Svinø Kirke"/>
        <s v="Johanneskirken"/>
        <s v="Greve Kirke"/>
        <s v="Kildebrønde Kirke"/>
        <s v="Hundige Kirke"/>
        <s v="Tune Kirke"/>
        <s v="Karlslunde Kirke"/>
        <s v="Karlslunde Strandkirke"/>
        <s v="Karlstrup Kirke"/>
        <s v="Havdrup Kirke"/>
        <s v="Havdrup Sognehus"/>
        <s v="Solrød Kirke"/>
        <s v="Solrød Strandkirke"/>
        <s v="Jersie Kirke"/>
        <s v="Jersie Sognehus"/>
        <s v="Kirke Skensved kirke"/>
        <s v="Mosede Kirke"/>
        <s v="Havrebjerg Valgmenighedskirke"/>
        <s v="Havrebjerg Kirke"/>
        <s v="Eggeslevmagle Kirke"/>
        <s v="Høve Valgmenighedskirke"/>
        <s v="Høve Kirke"/>
        <s v="Flakkebjerg Kirke"/>
        <s v="Skørpinge Kirke"/>
        <s v="Fårdrup Kirke"/>
        <s v="Sørbymagle Kirke"/>
        <s v="Gimlinge Kirke"/>
        <s v="Hyllested Kirke"/>
        <s v="Venslev Kirke"/>
        <s v="Holsteinborg Kirke"/>
        <s v="Sønder Bjerge Kirke"/>
        <s v="Agersø Kirke"/>
        <s v="Omø Kirke"/>
        <s v="Sct. Mikkels Kapel"/>
        <s v="Sankt Mikkels Kirke"/>
        <s v="Hejninge Kirke"/>
        <s v="Sct. Peders Kapel"/>
        <s v="Korsør Kirkegårdskapel"/>
        <s v="Tårnborg Kirke"/>
        <s v="Sønderup Kirke"/>
        <s v="Gudum Kirke"/>
        <s v="Sorterup Kirke"/>
        <s v="Ottestrup Kirke"/>
        <s v="Slots Bjergby Kirke"/>
        <s v="Sludstrup Kirke"/>
        <s v="Lundforlund Kirke"/>
        <s v="Stillinge Kirke"/>
        <s v="Vemmelev Kirke"/>
        <s v="Hemmeshøj Kirke"/>
        <s v="Boeslunde Kirke"/>
        <s v="Kindertofte Kirke"/>
        <s v="Halskov Kirke"/>
        <s v="Nørrevangskirken"/>
        <s v="Kapellet, Slagelse Sygehus"/>
        <s v="Antvorskov Kirke"/>
        <s v="Halsted Kirke"/>
        <s v="Avnede Kirke"/>
        <s v="Vestenskov Kirke"/>
        <s v="Kappel Kirke"/>
        <s v="Dannemare Kirke"/>
        <s v="Tillitse Kirke"/>
        <s v="Gloslunde Kirke"/>
        <s v="Græshave Kirke"/>
        <s v="Landet Kirke"/>
        <s v="Ryde Kirke"/>
        <s v="Vesterborg Kirke"/>
        <s v="Birket Kirke"/>
        <s v="Fejø Kirke"/>
        <s v="Femø Kirke"/>
        <s v="Nakskov Kirkegårdes Kapel"/>
        <s v="Branderslev Kirke"/>
        <s v="Stormarkskirken"/>
        <s v="Arninge Kirke"/>
        <s v="Herredskirke Kirke"/>
        <s v="Lille Løjtofte Kirke"/>
        <s v="Søllested Kirke"/>
        <s v="Skovlænge Kirke"/>
        <s v="Gurreby Kirke"/>
        <s v="Langø Kirke"/>
        <s v="Vindeby Kirke"/>
        <s v="Købelev Kirke"/>
        <s v="Horslunde Kirke"/>
        <s v="Nøbbet Kirke"/>
        <s v="Nordlunde Kirke"/>
        <s v="Stokkemarke Kirke"/>
        <s v="Hunseby Kirke"/>
        <s v="Maribo Domkirke"/>
        <s v="Hillested Kirke"/>
        <s v="Skørringe Kirke"/>
        <s v="Holeby Kirke"/>
        <s v="Bursø Kirke"/>
        <s v="Tirsted Kirke"/>
        <s v="Vejleby Kirke"/>
        <s v="Østofte Kirke"/>
        <s v="Bandholm Kirke"/>
        <s v="Askø Kirke"/>
        <s v="Rødbyhavn Kirke"/>
        <s v="Olstrup Kirke"/>
        <s v="Tågerup Kirke"/>
        <s v="Errindlev Kirke"/>
        <s v="Nebbelunde Kirke"/>
        <s v="Ringsebølle Kirke"/>
        <s v="Sædinge Kirke"/>
        <s v="Rødby Kirke"/>
        <s v="Fuglse Kirke"/>
        <s v="Krønge Kirke"/>
        <s v="Vigsnæs Kirke"/>
        <s v="Majbølle Kirke"/>
        <s v="Toreby Kirke"/>
        <s v="Døllefjelde Kirke"/>
        <s v="Musse Kirke"/>
        <s v="Herritslev Kirke"/>
        <s v="Sakskøbing Kapel"/>
        <s v="Sakskøbing Kirke"/>
        <s v="Nysted Kirke"/>
        <s v="Nysted Kirkegårdskapel"/>
        <s v="Vantore Kirke"/>
        <s v="Godsted Kirke"/>
        <s v="Vester Ulslev Kirke"/>
        <s v="Øster Ulslev Kirke"/>
        <s v="Slemminge Kirke"/>
        <s v="Fjelde Kirke"/>
        <s v="Kettinge Kirke"/>
        <s v="Tårs Kirke"/>
        <s v="Radsted Kirke"/>
        <s v="Våbensted Kirke"/>
        <s v="Engestofte Kirke"/>
        <s v="Ønslev Kirke"/>
        <s v="Eskilstrup Kirke"/>
        <s v="Tingsted Kirke"/>
        <s v="Klosterkirken"/>
        <s v="Lindeskovkirken"/>
        <s v="Nordre Kirke"/>
        <s v="Kapellet, Nykøbing F. Sygehus"/>
        <s v="Østre Kapel, Nykøbing F. sogn"/>
        <s v="Idestrup Kirke"/>
        <s v="Væggerløse Kirke"/>
        <s v="Strandkirken"/>
        <s v="Gedesby Kirke"/>
        <s v="Sønder Kirkeby Kirke"/>
        <s v="Sønder Alslev Kirke"/>
        <s v="Karleby Kirke"/>
        <s v="Horreby Kirke"/>
        <s v="Nørre Ørslev Kirke"/>
        <s v="Systofte Kirke"/>
        <s v="Horbelev Kirke"/>
        <s v="Falkerslev Kirke"/>
        <s v="Aastrup Kirke"/>
        <s v="Stubbekøbing Kirke"/>
        <s v="Stubbekøbing Kapel"/>
        <s v="Maglebrænde Kirke"/>
        <s v="Storstrøm Kirke"/>
        <s v="Gundslev Kirke"/>
        <s v="Nørre Alslev Kirke"/>
        <s v="Nørre Kirkeby Kirke"/>
        <s v="Gedser Kirke"/>
        <s v="Kippinge Kirke"/>
        <s v="Gyldenbjerg Kirke"/>
        <s v="Vålse Kirke"/>
        <s v="Stadager Kirke"/>
        <s v="Brarup Kirke"/>
        <s v="Nørre Vedby Kirke"/>
        <s v="Lillebrænde Kirke"/>
        <s v="Torkilstrup Kirke"/>
        <s v="Graabrødre Klosterkirke"/>
        <s v="Odense Valgmenighedskirke"/>
        <s v="Kirkesalen Odense Universitetshospital"/>
        <s v="Kirkegårdskapellet"/>
        <s v="OUH Sygehuskapel"/>
        <s v="Ansgars Kirke"/>
        <s v="Bolbro Kirke"/>
        <s v="Thomas Kingos Kirke"/>
        <s v="Munkebjerg Kirke"/>
        <s v="Sankt Hans Kirke"/>
        <s v="Fredens Kapel"/>
        <s v="Vollsmose Kirke"/>
        <s v="Lunde Kirke"/>
        <s v="Krogsbølle Kirke"/>
        <s v="Nørre Næraa Kirke"/>
        <s v="Bederslev Kirke"/>
        <s v="Klinte Kirke"/>
        <s v="Grindløse Kirke"/>
        <s v="Uggerslev Kirke"/>
        <s v="Nørre Højrup Kirke"/>
        <s v="Skamby Kirke"/>
        <s v="Sankt Nicolaj Kirke"/>
        <s v="Skovby Kirke"/>
        <s v="Ore Kirke"/>
        <s v="Guldbjerg Kirke"/>
        <s v="Nørre Sandager Kirke"/>
        <s v="Ejlby Kirke"/>
        <s v="Langesø Skovkapel"/>
        <s v="Veflinge Kirke"/>
        <s v="Søndersø Kirke"/>
        <s v="Norup Kirke"/>
        <s v="Hasmark Kirke"/>
        <s v="Østrup Kirke"/>
        <s v="Gerskov Kirke"/>
        <s v="Skeby Kirke"/>
        <s v="Otterup Kirke"/>
        <s v="Hjadstrup Kirke"/>
        <s v="Padesø Kirke"/>
        <s v="Jordløse Kirke"/>
        <s v="Verninge Kirke"/>
        <s v="Tommerup Kirke"/>
        <s v="Brylle Kirke"/>
        <s v="Vissenbjerg Kirke"/>
        <s v="Bågø Kirke"/>
        <s v="Kærum Kirke"/>
        <s v="Gamtofte Kirke"/>
        <s v="Søby Kirke"/>
        <s v="Turup Kirke"/>
        <s v="Barløse Kirke"/>
        <s v="Sandager Kirke"/>
        <s v="Holevad Kirke"/>
        <s v="Kerte Kirke"/>
        <s v="Skydebjerg Kirke"/>
        <s v="Orte Kirke"/>
        <s v="Vedtofte Kirke"/>
        <s v="Glamsbjerg Kirke"/>
        <s v="Flemløse Kirke"/>
        <s v="Løgismose Kapel"/>
        <s v="Hårby Kirke"/>
        <s v="Dreslette Kirke"/>
        <s v="Sønderby Kirke"/>
        <s v="Helnæs Kirke"/>
        <s v="Rørup Kirke"/>
        <s v="Årup Kirke"/>
        <s v="Broholm Kirke"/>
        <s v="Tanderup Kirke"/>
        <s v="Middelfart Kirke, Sankt Nikolaj"/>
        <s v="Middelfart Sygehus"/>
        <s v="Kauslunde Kirke"/>
        <s v="Vejlby Kirke"/>
        <s v="Strib Kirke"/>
        <s v="Asperup Kirke"/>
        <s v="Roerslev Kirke"/>
        <s v="Brenderup Kirke"/>
        <s v="Fjelsted Kirke"/>
        <s v="Harndrup Kirke"/>
        <s v="Gelsted Kirke"/>
        <s v="Balslev Kirke"/>
        <s v="Ejby Kapel"/>
        <s v="Nørre Aaby Kirke"/>
        <s v="Indslev Kirke"/>
        <s v="Gamborg Kirke"/>
        <s v="Føns Kirke"/>
        <s v="Husby Kirke"/>
        <s v="Wedelsborg Kapel"/>
        <s v="Røjleskov Kirke"/>
        <s v="Sankt Nikolaj Kirke"/>
        <s v="Skole-kirke samarbejde Fyn - SYMF"/>
        <s v="Svendborg Kirkegårdskapel"/>
        <s v="Hospice Sydfyn"/>
        <s v="Sørup Kirke"/>
        <s v="Skårup Kirke"/>
        <s v="Tved Kirke"/>
        <s v="Egense Kirke"/>
        <s v="Øster Skerninge Kirke"/>
        <s v="Hundstrup Kirke"/>
        <s v="Ollerup Kirke"/>
        <s v="Kirkeby Kirke"/>
        <s v="Stenstrup Kirke"/>
        <s v="Trefoldighedskirken"/>
        <s v="Valdemars Slots Kirke"/>
        <s v="Drejø Kirke"/>
        <s v="Skarø Kirke"/>
        <s v="Vester Skerninge Kirke"/>
        <s v="Ulbølle Kirke"/>
        <s v="Oure Kirke"/>
        <s v="Vejstrup Valgmenighedskirke"/>
        <s v="Vejstrup Kirke"/>
        <s v="Gudme Kirke"/>
        <s v="Brudager Kirke"/>
        <s v="Gudbjerg Kirke"/>
        <s v="Hesselager Kirke"/>
        <s v="Lundeborg Kirke"/>
        <s v="Diernæs Kirke"/>
        <s v="Vester Åby Kirke"/>
        <s v="Åstrup Kirke"/>
        <s v="Brahetrolleborg Kirke"/>
        <s v="Krarup Kirke"/>
        <s v="Allested Kirke"/>
        <s v="Vejle Kirke"/>
        <s v="Nørre Broby Kirke"/>
        <s v="Sønder Broby Kirke"/>
        <s v="Øster Hæsinge Kirke"/>
        <s v="Vester Hæsinge Kirke"/>
        <s v="Sandholts Lyndelse Kirke"/>
        <s v="Håstrup Kirke"/>
        <s v="Falsled Kirke"/>
        <s v="Svanninge Kirke"/>
        <s v="Horne Kirke"/>
        <s v="Damgården"/>
        <s v="Lyø Kirke"/>
        <s v="Avernakø Kirke"/>
        <s v="Paarup Kirke"/>
        <s v="Korup Kirke"/>
        <s v="Ubberud Kirke"/>
        <s v="Dalum Kirkes Sognehus"/>
        <s v="Dalum Kirke"/>
        <s v="Sanderum Kirke"/>
        <s v="Brændekilde Kirke"/>
        <s v="Bellinge Kirke"/>
        <s v="Fangel Kirke"/>
        <s v="Lumby Kirke"/>
        <s v="Allesø Kirke"/>
        <s v="Næsbyhoved-Broby Kirke"/>
        <s v="Agedrup Kirke"/>
        <s v="Seden Kirke"/>
        <s v="Åsum Kirke"/>
        <s v="Fraugde Kirke"/>
        <s v="Allerup Kirke"/>
        <s v="Davinde Kirke"/>
        <s v="Hjallese Kirke"/>
        <s v="Dyrup Kirke"/>
        <s v="Tornbjerg Kirke"/>
        <s v="Nyt OUH"/>
        <s v="Stige Kirke"/>
        <s v="Ravnebjerg Kirke"/>
        <s v="Kværndrup Kirke"/>
        <s v="Heden Kirke"/>
        <s v="Søllinge Kirke"/>
        <s v="Sønder Højrup Kirke"/>
        <s v="Årslev Kirke"/>
        <s v="Herringe Kirke"/>
        <s v="Gestelev Kirke"/>
        <s v="Espe Kirke"/>
        <s v="Vantinge Kirke"/>
        <s v="Hillerslev Kirke"/>
        <s v="Ringe Kapel"/>
        <s v="Kellerupkirken"/>
        <s v="Ringe Kirke"/>
        <s v="Ryslinge Kirke"/>
        <s v="Nazarethkirken, Ryslinge"/>
        <s v="Gislev Kirke"/>
        <s v="Rolfsted Kirke"/>
        <s v="Sankt Mikaels Kirke"/>
        <s v="Sdr. Nærå Valgmenighedskirke"/>
        <s v="Nørre Lyndelse Kirke"/>
        <s v="Nørre Søby Kirke"/>
        <s v="Nørre Søby Kapel"/>
        <s v="Strynø Kirke"/>
        <s v="Bøstrup Kirke"/>
        <s v="Snøde Kirke"/>
        <s v="Stoense Kirke"/>
        <s v="Hou Kirke"/>
        <s v="Longelse Kirke"/>
        <s v="Fuglsbølle Kirke"/>
        <s v="Lindelse Kirke"/>
        <s v="Ristinge Kirke"/>
        <s v="Kædeby Kirke"/>
        <s v="Humble Kirke"/>
        <s v="Tryggelev Kirke"/>
        <s v="Fodslette Kirke"/>
        <s v="Ærøskøbing Sygehuskapel"/>
        <s v="Ærøskøbing Kirke"/>
        <s v="Ommel Kirke"/>
        <s v="Marstal Kirke"/>
        <s v="Marstal Kirkegårds Kapel"/>
        <s v="Rise Kirke"/>
        <s v="Tranderup Kirke"/>
        <s v="Rudkøbing Kirke"/>
        <s v="Rudkøbing Bykapel"/>
        <s v="Simmerbølle Kirke"/>
        <s v="Skrøbelev Kirke"/>
        <s v="Tranekær Kirke"/>
        <s v="Tullebølle Kirke"/>
        <s v="Bagenkop Kirke"/>
        <s v="Nyborg Kirkegårdskapel"/>
        <s v="Stensgaards Kirke"/>
        <s v="Aunslev Kirke"/>
        <s v="Bovense Kirke"/>
        <s v="Ullerslev Kirke"/>
        <s v="Kullerup Kirke"/>
        <s v="Refsvindinge Kirke"/>
        <s v="Holckenhavn Slotskapel"/>
        <s v="Frørup Kirke"/>
        <s v="Ørbæk Kirke"/>
        <s v="Kristi Kapel"/>
        <s v="Herrested Kirke"/>
        <s v="Ellested Kirke"/>
        <s v="Langå Kirke"/>
        <s v="Øksendrup Kirke"/>
        <s v="Svindinge Kirke"/>
        <s v="Munkebo Kirke"/>
        <s v="Kølstrup Kirke"/>
        <s v="Marslev Kirke"/>
        <s v="Birkende Kirke"/>
        <s v="Rynkeby Kirke"/>
        <s v="Revninge Kirke"/>
        <s v="Mesinge Kirke"/>
        <s v="Viby Kirke"/>
        <s v="Betlehemskirken, Dalby Valgmenighedskirke"/>
        <s v="Stubberup Kirke"/>
        <s v="Rønninge Kirke"/>
        <s v="Taarup Kirke"/>
        <s v="Hjulby Kirke"/>
        <s v="Sankt Laurenti Kirke"/>
        <s v="Kerteminde Kirkegårdskapel"/>
        <s v="Drigstrup Kirke"/>
        <s v="Emauskirken, Kerteminde Valgmenighedskirke"/>
        <s v="Ellinge Kirke"/>
        <s v="Skellerup Kirke"/>
        <s v="Budolfi Kirke"/>
        <s v="Almen Kapel, Aalborg"/>
        <s v="Ansgars Kirken"/>
        <s v="Aalborg sygehus syds Kapel"/>
        <s v="Vesterkær Kirke"/>
        <s v="Østre Kapel, Aalborg"/>
        <s v="Vejgård Kirke"/>
        <s v="Hans Egede Kirke"/>
        <s v="Hasseris Kirke"/>
        <s v="Søndre Kapel, Aalborg"/>
        <s v="Nørresundby Kirkes Kapel"/>
        <s v="Kirkens Hus Nørresundby"/>
        <s v="Nørresundby Kirke"/>
        <s v="Nørre Uttrup Kirke"/>
        <s v="Hvorup Kirke"/>
        <s v="Centralkirkegårdens Kapel"/>
        <s v="Løvvangens Kirkecenter"/>
        <s v="Lindholm Kirke"/>
        <s v="Vadum Kirke"/>
        <s v="Vadum Sognegård"/>
        <s v="Sulsted Kirke"/>
        <s v="Vestbjerg Kirkecenter"/>
        <s v="Ajstrup Kirke"/>
        <s v="Horsens Kirke"/>
        <s v="Horsens Kirkes kapel"/>
        <s v="Vester Hassing Kirke"/>
        <s v="Ulsted Kirke"/>
        <s v="Hals Kirke"/>
        <s v="Vodskov kirkes kapel"/>
        <s v="Vodskov Kirke"/>
        <s v="Gåser Kirke"/>
        <s v="Øster Hassing Kirke"/>
        <s v="Ejdrup Kirke"/>
        <s v="Nibe Kapel"/>
        <s v="Nibe Kirke"/>
        <s v="Vokslev Kirke"/>
        <s v="Sønderholm Kirke"/>
        <s v="Frejlev Kirke"/>
        <s v="Nørholm Kirke"/>
        <s v="Ellidshøj Kirke"/>
        <s v="Svenstrup Kirke"/>
        <s v="Bislev Kirke"/>
        <s v="Sebber Kirke"/>
        <s v="Store Ajstrup Kirke"/>
        <s v="Farstrup Kirke"/>
        <s v="Dall Kirke"/>
        <s v="Volsted Kirke"/>
        <s v="Godthåb Kirke"/>
        <s v="Als Kirke"/>
        <s v="Skelund Kirke"/>
        <s v="Visborg Kirke"/>
        <s v="Rostrup Kirke"/>
        <s v="Oue Kirke"/>
        <s v="Valsgaard Kirke"/>
        <s v="Astrup Kirke"/>
        <s v="Rold Kirke"/>
        <s v="Vebbestrup Kirke"/>
        <s v="Storarden Kirke"/>
        <s v="Arden Kirke"/>
        <s v="Hadsund Kirke"/>
        <s v="Vive Kirke"/>
        <s v="Øster Hurup Kirke"/>
        <s v="Brønderslev Gamle Kirke"/>
        <s v="Brønderslev Kirke"/>
        <s v="Serritslev Kirke"/>
        <s v="Tise Kirke"/>
        <s v="Tolstrup Kirke"/>
        <s v="Stenum Kirke"/>
        <s v="Jerslev Kirke"/>
        <s v="Hellum Kirke"/>
        <s v="Øster Brønderslev Kirke"/>
        <s v="Hallund Kirke"/>
        <s v="Hjallerup Kirke"/>
        <s v="Voer Kirke"/>
        <s v="Hellevad Kirke"/>
        <s v="Ørum Kirke"/>
        <s v="Dronninglund Kirkegårdskapel"/>
        <s v="Dronninglund Kirke"/>
        <s v="Aså Kirke"/>
        <s v="Agersted Kirke"/>
        <s v="Mylund Kirke"/>
        <s v="Øster Hjermitslev Kirke"/>
        <s v="Melholt Kirke"/>
        <s v="Dorf Kirke"/>
        <s v="Mosbjerg Kirke"/>
        <s v="Bindslev Kirke"/>
        <s v="Tolne Kirke"/>
        <s v="Hørmested Kirke"/>
        <s v="Byrum Kirke"/>
        <s v="Østerby Kirke"/>
        <s v="Vesterø Kirke"/>
        <s v="Ugilt Kirke"/>
        <s v="Sindal gl kirke"/>
        <s v="Sindal bykirke"/>
        <s v="Bjergby Kirke"/>
        <s v="Mygdal Kirke"/>
        <s v="Asdal Kirke"/>
        <s v="Hirtshals Kirke"/>
        <s v="Emmersbæk Kirke"/>
        <s v="Tornby Kirke"/>
        <s v="Vidstrup Kirke"/>
        <s v="Tversted Kirke"/>
        <s v="Uggerby Kirke"/>
        <s v="Lendum Kirke"/>
        <s v="Sørig Kirke"/>
        <s v="Strandby Kirke"/>
        <s v="Elling Kirke"/>
        <s v="Åsted Kirke"/>
        <s v="Skærum Kirke"/>
        <s v="Fladbjerg Kapel"/>
        <s v="Flade Kirke"/>
        <s v="Gærum Kirke"/>
        <s v="Sæby Kapel"/>
        <s v="Understed Kirke"/>
        <s v="Karup Kirke"/>
        <s v="Volstrup Kirke"/>
        <s v="Badskær Kirke"/>
        <s v="Torslev Kirke"/>
        <s v="Skæve Kirke"/>
        <s v="Lyngså Kirke"/>
        <s v="Albæk Kirke"/>
        <s v="Hirsholmene Kirke"/>
        <s v="Frederikshavn Kirke"/>
        <s v="Fladstrand Kirke"/>
        <s v="Kapel, Regionshospital Nordjylland, Frederikshavn"/>
        <s v="Abildgård Kirke"/>
        <s v="Bangsbostrand Kirke"/>
        <s v="Skagen Kapel"/>
        <s v="Skagen Kirke"/>
        <s v="Ålbæk Kirke"/>
        <s v="Råbjerg Kirke"/>
        <s v="Østervrå Kirke"/>
        <s v="Hulsig Kirke"/>
        <s v="Jerup Kirke"/>
        <s v="Kvissel Kirke"/>
        <s v="Aaby Kirke"/>
        <s v="Biersted Kirke"/>
        <s v="Lerup Kirke"/>
        <s v="Tranum Kirke"/>
        <s v="Brovst Kirke"/>
        <s v="Oxholm Kirke"/>
        <s v="Øster Svenstrup Kirke"/>
        <s v="Øster Svenstrup Kirkes kapel"/>
        <s v="Haverslev Kirke"/>
        <s v="Skræm Kirke"/>
        <s v="Bejstrup Kirke"/>
        <s v="Vedsted Kirke"/>
        <s v="Ingstrup Kirke"/>
        <s v="Vester Hjermitslev Kirke"/>
        <s v="Saltum Kirke"/>
        <s v="Alstrup Kirke"/>
        <s v="Jetsmark Kirke"/>
        <s v="Jetsmarks Kirkes Kapel"/>
        <s v="Hune Kirke"/>
        <s v="Rødhus Kirke"/>
        <s v="Gjøl Kirke"/>
        <s v="Hjortdal Kirke"/>
        <s v="Klim Valgmenighedskirke"/>
        <s v="Klim Kirke"/>
        <s v="Vust Kirke"/>
        <s v="Kettrup Kirke"/>
        <s v="Gøttrup Kirke"/>
        <s v="Langeslund Kirke"/>
        <s v="Kollerup Kirke"/>
        <s v="Fjerritslev Kirke"/>
        <s v="Koldmose Kirke"/>
        <s v="Kåstrup Kirke"/>
        <s v="Sennels Kirke"/>
        <s v="Hunstrup Kirke"/>
        <s v="Østerild Kirke"/>
        <s v="Hjardemål Klit Kirke"/>
        <s v="Hjardemål Kirke"/>
        <s v="Tømmerby Kirke"/>
        <s v="Lild Kirke"/>
        <s v="Lildstrand Kirke"/>
        <s v="Øsløs Kirke"/>
        <s v="Vesløs Valgmenighedskirke"/>
        <s v="Vesløs Kirke"/>
        <s v="Arup Kirke"/>
        <s v="Thisted Vestre Kapel"/>
        <s v="Thisted Sygehuskapel"/>
        <s v="Thisted Kirke"/>
        <s v="Tilsted Kirke"/>
        <s v="Skinnerup Kirke"/>
        <s v="Sjørring Kirke"/>
        <s v="Thorsted Kirke"/>
        <s v="Skjoldborg Kirke"/>
        <s v="Kallerup Kirke"/>
        <s v="Hundborg Kirke"/>
        <s v="Jannerup Kirke"/>
        <s v="Vang Kirke"/>
        <s v="Ræhr Kirke"/>
        <s v="Hansted Kirke"/>
        <s v="Vigsø Kirke"/>
        <s v="Nors Kirke"/>
        <s v="Vester Vandet Kirke"/>
        <s v="Øster Vandet Kirke"/>
        <s v="Klitmøller Kirke"/>
        <s v="Vorupør Kirke"/>
        <s v="Vestervig Kirke"/>
        <s v="Agger Kirke"/>
        <s v="Hurup kirkes kapel"/>
        <s v="Hurup Kirke"/>
        <s v="Boddum Kirke"/>
        <s v="Ydby Kirke"/>
        <s v="Snedsted Kirke"/>
        <s v="Nørhå Kirke"/>
        <s v="Sønderhå Kirke"/>
        <s v="Hørsted Kirke"/>
        <s v="Harring Kirke"/>
        <s v="Stagstrup Kirke"/>
        <s v="Skyum Kirke"/>
        <s v="Hørdum Kirke"/>
        <s v="Hassing Kirke"/>
        <s v="Villerslev Kirke"/>
        <s v="Visby Kirke"/>
        <s v="Heltborg Kirke"/>
        <s v="Hvidbjerg Kirke"/>
        <s v="Lodbjerg Kirke"/>
        <s v="Bedsted Kirke"/>
        <s v="Grurup Kirke"/>
        <s v="Stenbjerg Kirke"/>
        <s v="Helligsø Kirke"/>
        <s v="Gettrup Kirke"/>
        <s v="Sejerslev Kirke"/>
        <s v="Ejerslev Kirke"/>
        <s v="Jørsby Kirke"/>
        <s v="Sønder Dråby Kirke"/>
        <s v="Dragstrup Kirke"/>
        <s v="Skallerup Kirke"/>
        <s v="Galtrup Kirke"/>
        <s v="Øster Jølby Kirke"/>
        <s v="Tødsø Kirke"/>
        <s v="Erslev Kirke"/>
        <s v="Nykøbing Mors Kirkegårdskapel"/>
        <s v="Lødderup Kirke"/>
        <s v="Elsø Kirke"/>
        <s v="Mollerup Kirke"/>
        <s v="Tæbring Kirke"/>
        <s v="Ovtrup Kirke"/>
        <s v="Rakkeby Kirke"/>
        <s v="Karby Kirke"/>
        <s v="Redsted Kirke"/>
        <s v="Vejerslev Kirke"/>
        <s v="Ljørslev Kirke"/>
        <s v="Ørding Kirke"/>
        <s v="Vester Assels Kirke"/>
        <s v="Agerø Kirke"/>
        <s v="Blidstrup Kirke"/>
        <s v="Øster Assels Kirke"/>
        <s v="Gunderup Kirke"/>
        <s v="Nøvling Kirke"/>
        <s v="Lillevorde Kirke"/>
        <s v="Dokkedal Kirke"/>
        <s v="Mou Kirke"/>
        <s v="Storvorde Kirke"/>
        <s v="Sejlflod Kirke"/>
        <s v="Sønder Kongerslev Kirke"/>
        <s v="Nørre Kongerslev Kirke"/>
        <s v="Komdrup Kirke"/>
        <s v="Sønder Tranders Kirke"/>
        <s v="Gug Kirke"/>
        <s v="Kirkecenter for Nørre Tranders"/>
        <s v="Nørre Tranders Kirke"/>
        <s v="Skalborg Kirke"/>
        <s v="Gistrup Kirke"/>
        <s v="Klarup Kirke"/>
        <s v="Romdrup Kirke"/>
        <s v="Gudumholm Kirke"/>
        <s v="Rørdal Kirke"/>
        <s v="Vrejlev Kirke"/>
        <s v="Hæstrup Kirke"/>
        <s v="Vittrup Kirke"/>
        <s v="Børglum Klosterkirke"/>
        <s v="Børglum Kirke"/>
        <s v="Løkken Kirke"/>
        <s v="Furreby Kirke"/>
        <s v="Sejlstrup Kirke"/>
        <s v="Vrensted Kirke"/>
        <s v="Vrå Kirke"/>
        <s v="Vrå Valgmenighedskirke"/>
        <s v="Em Kirke"/>
        <s v="Sankt Catharinæ Kirke"/>
        <s v="Kapel, Regionshospital Nordjylland, Hjørring"/>
        <s v="Hjørring Kirkegårds Kapel"/>
        <s v="Sankt Olai Kirke"/>
        <s v="Morild Kirke"/>
        <s v="Vennebjerg Kirke"/>
        <s v="Rubjerg Kirke"/>
        <s v="Jelstrup Kirke"/>
        <s v="Lønstrup Kirke"/>
        <s v="Mårup Kirke"/>
        <s v="Harritslev Kirke"/>
        <s v="Brorstrup Kirke"/>
        <s v="Ravnkilde Kirke"/>
        <s v="Kongens Tisted Kirke"/>
        <s v="Binderup Kirke"/>
        <s v="Durup Kirke"/>
        <s v="Rørbæk Kirke"/>
        <s v="Grynderup Kirke"/>
        <s v="Skibsted Kirke"/>
        <s v="Store Brøndum Kirke"/>
        <s v="Siem Kirke"/>
        <s v="Gerding Kirke"/>
        <s v="Blenstrup Kirke"/>
        <s v="Skørping Kirke"/>
        <s v="Skørping Nykirke"/>
        <s v="Fræer Kirke"/>
        <s v="Øster Hornum Kirke"/>
        <s v="Støvring Kirke"/>
        <s v="Gravlev Kirke"/>
        <s v="Aarestrup Kirke"/>
        <s v="Suldrup Kirke"/>
        <s v="Veggerby Kirke"/>
        <s v="Bælum Kirke"/>
        <s v="Stenild Kirke"/>
        <s v="Terndrup Kirke"/>
        <s v="Tårup Kirke"/>
        <s v="Kvols Kirke"/>
        <s v="Stoholm Kirke"/>
        <s v="Feldingbjerg Kirke"/>
        <s v="Sparkær Kirke"/>
        <s v="Gammelstrup Kirke"/>
        <s v="Daugbjerg Kirke"/>
        <s v="Mønsted Kirke"/>
        <s v="Smollerup Kirke"/>
        <s v="Vridsted Kirke"/>
        <s v="Fly Kirke"/>
        <s v="Vroue Kirke"/>
        <s v="Resen Kirke"/>
        <s v="Hald Ege Kirke"/>
        <s v="Dollerup Kirke"/>
        <s v="Ravnstrup Kirke"/>
        <s v="Vorde Kirke"/>
        <s v="Fiskbæk Kirke"/>
        <s v="Romlund Kirke"/>
        <s v="Lysgård Kirke"/>
        <s v="Sjørslev Kirke"/>
        <s v="Almind Kirke"/>
        <s v="Viborg Domkirke"/>
        <s v="Gråbrødre Klosterkirke"/>
        <s v="Viborg kirkegårds kapel"/>
        <s v="Viborg Sygehuskapel"/>
        <s v="Kapel, Regionshospitalet Viborg"/>
        <s v="Sortebrødre Kirke"/>
        <s v="Asmild Kirke"/>
        <s v="Tapdrup Kirke"/>
        <s v="Vinkel Kirke"/>
        <s v="Sønder Rind Kirke"/>
        <s v="Søndermarkskirken"/>
        <s v="Houlkær Kirke"/>
        <s v="Iglsø Kirke"/>
        <s v="Sahl Kirke"/>
        <s v="Gullev Kirke"/>
        <s v="Hvam Kirke"/>
        <s v="Hersom Kirke"/>
        <s v="Vester Bjerregrav Kirke"/>
        <s v="Klejtrup Kirke"/>
        <s v="Tostrup Kirke"/>
        <s v="Roum Kirke"/>
        <s v="Låstrup Kirke"/>
        <s v="Skals Kirke"/>
        <s v="Ulbjerg Kirke"/>
        <s v="Lynderup Kirke"/>
        <s v="Rødding Kirke"/>
        <s v="Løvel Kirke"/>
        <s v="Pederstrup Kirke"/>
        <s v="Vammen Kirke"/>
        <s v="Lindum Kirke"/>
        <s v="Bigum Kirke"/>
        <s v="Vindum Kirke"/>
        <s v="Brandstrup Kirke"/>
        <s v="Mammen Kirke"/>
        <s v="Bjerringbro Kirke"/>
        <s v="Lee Kirke"/>
        <s v="Hjorthede Kirke"/>
        <s v="Skjern Kirke"/>
        <s v="Tjele Kirke"/>
        <s v="Nørre Vinge Kirke"/>
        <s v="Viskum Kirke"/>
        <s v="Vejrum Kirke"/>
        <s v="Vorning Kirke"/>
        <s v="Kvorning Kirke"/>
        <s v="Hammershøj Kirke"/>
        <s v="Bjerring Kirke"/>
        <s v="Hjermind Kirke"/>
        <s v="Elsborg Kirke"/>
        <s v="Højbjerg Kirke"/>
        <s v="Roslev Kirke"/>
        <s v="Rybjerg Kirke"/>
        <s v="Vile Kirke"/>
        <s v="Glyngøre Kirke"/>
        <s v="Lihme Kirke"/>
        <s v="Balling Kirke"/>
        <s v="Volling Kirke"/>
        <s v="Krejbjerg Kirke"/>
        <s v="Håsum Kirke"/>
        <s v="Ramsing Kirke"/>
        <s v="Lem Kirke"/>
        <s v="Oddense Kirke"/>
        <s v="Otting Kirke"/>
        <s v="Grinderslev Kirke"/>
        <s v="Grønning Kirke"/>
        <s v="Thise Kirke"/>
        <s v="Brøndum Kirke"/>
        <s v="Lyby Kirke"/>
        <s v="Jebjerg Kirke"/>
        <s v="Selde Kirke"/>
        <s v="Thorum Kirke"/>
        <s v="Junget Kirke"/>
        <s v="Nautrup Kirke"/>
        <s v="Tøndering Kirke"/>
        <s v="Harre Kirke"/>
        <s v="Hjerk Kirke"/>
        <s v="Kobberup Kirke"/>
        <s v="Højslev Kirke"/>
        <s v="Dommerby Kirke"/>
        <s v="Lundø Kirke"/>
        <s v="Ørslevkloster Kirke"/>
        <s v="Folkekirkens Kapel"/>
        <s v="Skive Kirke"/>
        <s v="Hem Kirke"/>
        <s v="Hindborg Kirke"/>
        <s v="Dølby Kirke"/>
        <s v="Egeris Kirke"/>
        <s v="Rønbjerg Kirke"/>
        <s v="Estvad Kirke"/>
        <s v="Aars Kirke"/>
        <s v="Havbro Kirke"/>
        <s v="Vester Hornum Kirke"/>
        <s v="Flejsborg Kirke"/>
        <s v="Ulstrup Kirke"/>
        <s v="Gundersted Kirke"/>
        <s v="Blære Kirke"/>
        <s v="Skivum Kirke"/>
        <s v="Giver Kirke"/>
        <s v="Farsø Kirke"/>
        <s v="Kapel, Aalborg Universitetshospital, Farsø"/>
        <s v="Ullits Kirke"/>
        <s v="Fovlum Kirke"/>
        <s v="Louns Kirke"/>
        <s v="Gislum Kirke"/>
        <s v="Vognsild Kirke"/>
        <s v="Løgstør Kirke"/>
        <s v="Løgsted Kirke"/>
        <s v="Ranum Kirke"/>
        <s v="Malle Kirke"/>
        <s v="Overlade Kirke"/>
        <s v="Hyllebjerg Kirke"/>
        <s v="Vilsted Kirke"/>
        <s v="Vindblæs Kirke"/>
        <s v="Næsborg Kirke"/>
        <s v="Kornum Kirke"/>
        <s v="Salling Kirke"/>
        <s v="Oudrup Kirke"/>
        <s v="Aggersborg Kirke"/>
        <s v="Vesterbølle Kirke"/>
        <s v="Østerbølle Kirke"/>
        <s v="Gedsted Kirke"/>
        <s v="Fjelsø Kirke"/>
        <s v="Simested Kirke"/>
        <s v="Testrup Kirke"/>
        <s v="Aalestrup Kirke"/>
        <s v="Svingelbjerg Kirke"/>
        <s v="Vinding Kirke"/>
        <s v="Vind Kirke"/>
        <s v="Aulum Kirke"/>
        <s v="Hodsager Kirke"/>
        <s v="Vildbjerg Kapel"/>
        <s v="Vildbjerg Kirke"/>
        <s v="Sunds Kirke"/>
        <s v="Ilskov Kirke"/>
        <s v="Regionshospitalets kapel, Gødstrup"/>
        <s v="Gødstrup Hospitalskirke"/>
        <s v="Snejbjerg Kirke"/>
        <s v="Tjørring Kirke"/>
        <s v="Baunekirken"/>
        <s v="Studsgård Kirke"/>
        <s v="Haunstrup Kirke"/>
        <s v="Haderup Kirke"/>
        <s v="Grove Kirke"/>
        <s v="Simmelkær Kirke"/>
        <s v="Ørnhøj Kirke"/>
        <s v="Sinding Kirke"/>
        <s v="Ørre Kirke"/>
        <s v="Feldborg Kirke"/>
        <s v="Timring Kirke"/>
        <s v="Tiphede Kirke"/>
        <s v="Nørre Felding Kirke"/>
        <s v="Tvis Kirke"/>
        <s v="Kapel, Regionshospitalet Holstebro"/>
        <s v="Viborgvejs Kapel"/>
        <s v="Holstebro Valgmenighedskirke"/>
        <s v="Holstebro Kirke"/>
        <s v="Egekapellet"/>
        <s v="Måbjerg Kirke"/>
        <s v="Nørrelandskirken"/>
        <s v="Mejrup Kirke"/>
        <s v="Borbjerg Kirke"/>
        <s v="Naur Kirke"/>
        <s v="Sir Kirke"/>
        <s v="Ejsing Kirke"/>
        <s v="Handbjerg Kirke"/>
        <s v="Sevel Kirke"/>
        <s v="Mejdal Kirke"/>
        <s v="Vinderup Kirke"/>
        <s v="Trandum Kirke"/>
        <s v="Herrup Kirke"/>
        <s v="Ellebæk Kirke"/>
        <s v="Hogager Kirke"/>
        <s v="Idom Kirke"/>
        <s v="Råsted Kirke"/>
        <s v="Herning Kirke"/>
        <s v="Herning Valgmenighedskirke"/>
        <s v="Herning Nordre Kapel"/>
        <s v="Herning Vestre Kapel"/>
        <s v="Gjellerup Kirke"/>
        <s v="Gjellerup Valgmenighedskirke Herning"/>
        <s v="Lind Kirke"/>
        <s v="Rind Kirke"/>
        <s v="Sønder Felding Kirke"/>
        <s v="Assing Kirke"/>
        <s v="Skarrild Kirke"/>
        <s v="Arnborg Kirke"/>
        <s v="Hedeagerkirken"/>
        <s v="Kølkær Kirke"/>
        <s v="Kollund Kirke"/>
        <s v="Ilderhede Kirke"/>
        <s v="Gullestrup Kirke"/>
        <s v="Fasterholt Kirke"/>
        <s v="Karstoft Kirke"/>
        <s v="Nørlem Kirke"/>
        <s v="Nørre Nissum Kirke"/>
        <s v="Tørring Kirke"/>
        <s v="Bøvling Valgmenighedskirke"/>
        <s v="Mariekirken"/>
        <s v="Bøvling Kirke"/>
        <s v="Flynder Kirke"/>
        <s v="Møborg Kirke"/>
        <s v="Nees Kirke"/>
        <s v="Fabjerg Kirke"/>
        <s v="Harboøre Kapel"/>
        <s v="Harboøre Kirke"/>
        <s v="Harboøre Missionshus ELIM"/>
        <s v="Engbjerg Kirke"/>
        <s v="Thyborøn Kirke"/>
        <s v="Thyborøn Kapel"/>
        <s v="Hygum Kirke"/>
        <s v="Hove Kirke"/>
        <s v="Vandborg Kirke"/>
        <s v="Ferring Kirke"/>
        <s v="Dybe Kirke"/>
        <s v="Ramme Kirke"/>
        <s v="Fjaltring Kirke"/>
        <s v="Trans Kirke"/>
        <s v="Lomborg Kirke"/>
        <s v="Rom Kirke"/>
        <s v="Heldum Kirke"/>
        <s v="Lemvig Kirke"/>
        <s v="Lemvig Valgmenighedskirke"/>
        <s v="Lemvig Kirkegårdskapel"/>
        <s v="Brande Kirke"/>
        <s v="Blåhøj Kirke"/>
        <s v="Nørre Snede Kirke"/>
        <s v="Bakkebo Kirke"/>
        <s v="Nørre Snede Kirkes kapel"/>
        <s v="Ejstrup Kirke"/>
        <s v="Klovborg Kirke"/>
        <s v="Vium Kirke"/>
        <s v="Ans Kirke"/>
        <s v="Grønbæk Kirke"/>
        <s v="Levring Kirke"/>
        <s v="Hørup Kirke"/>
        <s v="Hinge Kirke"/>
        <s v="Vinderslev Kirke"/>
        <s v="Thorning Kirke"/>
        <s v="Engesvang Kirke"/>
        <s v="Ikast Østre Kirke"/>
        <s v="Ikast Kirke"/>
        <s v="Bording Kirke"/>
        <s v="Isenvad Kirke"/>
        <s v="Fonnesbæk Kirke"/>
        <s v="Faurholt Kirke"/>
        <s v="Christianshede Kirke"/>
        <s v="Grathe Kirke"/>
        <s v="Skærlund Kirke"/>
        <s v="Uhre Kirke"/>
        <s v="Gludsted Kirke"/>
        <s v="Hampen Kirke"/>
        <s v="Jegindø Kirke"/>
        <s v="Struer Kirke"/>
        <s v="Struer Kirkes Kapel"/>
        <s v="Voldhøj Valgmenighedskirke"/>
        <s v="Gimsing Kirke"/>
        <s v="Asp Kirke"/>
        <s v="Fousing Kirke"/>
        <s v="Humlum Kirke"/>
        <s v="Venø Kirke"/>
        <s v="Hjerm Østre Kirke"/>
        <s v="Hjerm Vestre Kirke"/>
        <s v="Lyngs Kirke"/>
        <s v="Odby Kirke"/>
        <s v="Søndbjerg Kirke"/>
        <s v="Aarhus Domkirke"/>
        <s v="Sankt Nikolai Kryptkirke"/>
        <s v="Aarhus Bykirke"/>
        <s v="Langenæs Kirke"/>
        <s v="Nordre Kapel, Aarhus"/>
        <s v="Sygehuskapellet, Aarhus Universitetshospital"/>
        <s v="Besser Kirke"/>
        <s v="Kapellet, Samsø Sundheds- og Akuthus"/>
        <s v="Ørby Kirke"/>
        <s v="Tranebjerg Kirke"/>
        <s v="Onsbjerg Kirke"/>
        <s v="Langør Kirke"/>
        <s v="Nordby Kirke"/>
        <s v="Kolby Kirke"/>
        <s v="Tunø Kirke"/>
        <s v="Odder Kapel"/>
        <s v="Odder Sygehuskapel"/>
        <s v="Odder Valgmenighedskirke"/>
        <s v="Odder Kirke"/>
        <s v="Torrild Kirke"/>
        <s v="Saksild Kirke"/>
        <s v="Nølev Kirke"/>
        <s v="Randlev Kirke"/>
        <s v="Bjerager Kirke"/>
        <s v="Hundslund Kirke"/>
        <s v="Ørting Kirke"/>
        <s v="Falling Kirke"/>
        <s v="Gosmer Kirke"/>
        <s v="Halling Kirke"/>
        <s v="Gylling Kirke"/>
        <s v="Alrø Kirke"/>
        <s v="Sankt Sørens Kirke"/>
        <s v="Voerladegård Kirke"/>
        <s v="Stilling Kirke"/>
        <s v="Blegind Kirke"/>
        <s v="Hørning Kirke"/>
        <s v="Adslev Kirke"/>
        <s v="Dover Kirke"/>
        <s v="Veng Kirke"/>
        <s v="Mesing Kirke"/>
        <s v="Låsby Kirke"/>
        <s v="Alling Kirke"/>
        <s v="Tulstrup Kirke"/>
        <s v="Fruering Kirke"/>
        <s v="Ovsted Kirke"/>
        <s v="Tåning Kirke"/>
        <s v="Hylke Kirke"/>
        <s v="Sjelle Kirke"/>
        <s v="Skjørring Kirke"/>
        <s v="Skivholme Kirke"/>
        <s v="Skovby Kirkes Kapel"/>
        <s v="Storring Kirke"/>
        <s v="Stjær Kirke"/>
        <s v="Galten Kirke"/>
        <s v="Ry Kirke"/>
        <s v="Højvangen Kirke"/>
        <s v="Kirkecenter Højvangen"/>
        <s v="Slotskirkens Krypt"/>
        <s v="Skanderup Kirke"/>
        <s v="Skanderup Kirkes Kapel"/>
        <s v="Slotskirken"/>
        <s v="Hatting Kirke"/>
        <s v="Østerhåb Kirke"/>
        <s v="Torsted Kirke"/>
        <s v="Tyrsted Kirke"/>
        <s v="Uth Kirke"/>
        <s v="Sønder Vissing Kirke"/>
        <s v="Grædstrup Kirke"/>
        <s v="Brædstrup Kirke"/>
        <s v="Føvling Kirke"/>
        <s v="Tønning Kirke"/>
        <s v="Træden Kirke"/>
        <s v="Tyrsting Kirke"/>
        <s v="Østbirk Kirke"/>
        <s v="Yding Kirke"/>
        <s v="Kattrup Kirke"/>
        <s v="Ørridslev Kirke"/>
        <s v="Vedslet Kirke"/>
        <s v="Lundum Kirke"/>
        <s v="Vær Kirke"/>
        <s v="Serridslev Kirke"/>
        <s v="Gangsted Kirke"/>
        <s v="Søvind Kirke"/>
        <s v="Sygehuskapel"/>
        <s v="Vestermark Kirke"/>
        <s v="Horsens Valgmenighed"/>
        <s v="Vestre Kapel"/>
        <s v="Getsemane Kirke"/>
        <s v="Tamdrup Kirke"/>
        <s v="Nim Kirke"/>
        <s v="Underup Kirke"/>
        <s v="Endelave Kirke"/>
        <s v="Sønderbro Kirke"/>
        <s v="Bryrup Kirke"/>
        <s v="Them Kirke"/>
        <s v="Vrads Kirke"/>
        <s v="Silkeborg Sygehuskapel"/>
        <s v="Silkeborg Kirke"/>
        <s v="Silkeborg Vestre Kapel"/>
        <s v="Mariehøj Kirke"/>
        <s v="Alderslyst Kirke"/>
        <s v="Linå Kirke"/>
        <s v="Voel Kirke"/>
        <s v="Skorup Kirke"/>
        <s v="Tvilum Kirke"/>
        <s v="Dallerup Kirke"/>
        <s v="Balle Kirke"/>
        <s v="Hvinningdal Kirke"/>
        <s v="Serup Kirke"/>
        <s v="Lemming Kirke"/>
        <s v="Dybkær Kirke"/>
        <s v="Gødvad Kirke"/>
        <s v="Svostrup Kirke"/>
        <s v="Sejling Kirke"/>
        <s v="Kragelund Kirke"/>
        <s v="Funder Kirke"/>
        <s v="Virklund Kirke"/>
        <s v="Sejs-Svejbæk Kirke"/>
        <s v="Skannerup Kirke"/>
        <s v="Gjern Kirke"/>
        <s v="Haslund Kirke"/>
        <s v="Ølst Kirke"/>
        <s v="Værum Kirke"/>
        <s v="Vorup Kapel"/>
        <s v="Kousted Kirke"/>
        <s v="Kristrup Kirke"/>
        <s v="Kristrup Kapel"/>
        <s v="Virring Kirke"/>
        <s v="Essenbæk Kirke"/>
        <s v="Øster Bjerregrav Kirke"/>
        <s v="Ålum Kirke"/>
        <s v="Tånum Kirke"/>
        <s v="Øster Velling Kirke"/>
        <s v="Helstrup Kirke"/>
        <s v="Grensten Kirke"/>
        <s v="Enghøj Kirke"/>
        <s v="Vester Tørslev Kirke"/>
        <s v="Glenstrup Kirke"/>
        <s v="Skjellerup Kirke"/>
        <s v="Hobro Kirke"/>
        <s v="Hobro Søndre Kapel"/>
        <s v="Hobro Sygehus Kapel"/>
        <s v="Mariager Kirke"/>
        <s v="Sem Kirke"/>
        <s v="Sønder Onsild Kirke"/>
        <s v="Nørre Onsild Kirke"/>
        <s v="Hvornum Kirke"/>
        <s v="Snæbum Kirke"/>
        <s v="Øls Kirke"/>
        <s v="Døstrup Kirke"/>
        <s v="Hvilsom Kirke"/>
        <s v="Assens Kirke"/>
        <s v="Falslev Kirke"/>
        <s v="Rosmus Kirke"/>
        <s v="Tirstrup Kirke"/>
        <s v="Fuglslev Kirke"/>
        <s v="Feldballe Kirke"/>
        <s v="Nødager Kirke"/>
        <s v="Marie Magdalene Kirke"/>
        <s v="Pindstrup Kirke"/>
        <s v="Koed Kirke"/>
        <s v="Hvilsager Kirke"/>
        <s v="Lime Kirke"/>
        <s v="Mygind Kirke"/>
        <s v="Karlby Kirke"/>
        <s v="Skørring Kirke"/>
        <s v="Skader Kirke"/>
        <s v="Thorsager Kirke"/>
        <s v="Thorsager Kapel"/>
        <s v="Bregnet Kirke"/>
        <s v="Mørke Kirke"/>
        <s v="Hornslet Kirke"/>
        <s v="Hornslet Kirkegårdskapel"/>
        <s v="Agri Kirke"/>
        <s v="Egens Kirke"/>
        <s v="Knebel Kirke"/>
        <s v="Vrinners Kirke"/>
        <s v="Vistoft Kirke"/>
        <s v="Helgenæs Kirke"/>
        <s v="Ebeltoft Kirke"/>
        <s v="Dråby Kirke"/>
        <s v="Handrup Kirke"/>
        <s v="Tøstrup Kirke"/>
        <s v="Nimtofte Kirke"/>
        <s v="Kolind Kirke"/>
        <s v="Ebdrup Kirke"/>
        <s v="Skarresø Kirke"/>
        <s v="Fjellerup Kirke"/>
        <s v="Glesborg Kirke"/>
        <s v="Ginnerup Kirke"/>
        <s v="Anholt Kirke"/>
        <s v="Ålsø Kirke"/>
        <s v="Hoed Kirke"/>
        <s v="Homå Kirke"/>
        <s v="Fausing Kirke"/>
        <s v="Gl. Estrup Slotskapel"/>
        <s v="Auning Kirke"/>
        <s v="Øster Alling Kirke"/>
        <s v="Vester Alling Kirke"/>
        <s v="Grenaa Kirke"/>
        <s v="Sygehuskapellet i Grenaa"/>
        <s v="Norddjurs Kapel"/>
        <s v="Grenaa Kirkegårdskapel"/>
        <s v="Hammelev Kirke"/>
        <s v="Enslev Kirke"/>
        <s v="Voldby Kirke"/>
        <s v="Veggerslev Kirke"/>
        <s v="Villersø Kirke"/>
        <s v="Gjerrild Kirke"/>
        <s v="Maria Hjerte Kirke, Gjerrild"/>
        <s v="Hemmed Kirke"/>
        <s v="Rimsø Kirke"/>
        <s v="Kastbjerg Kirke"/>
        <s v="Holbæk Kirke"/>
        <s v="Estruplund Kirke"/>
        <s v="Vivild Kirke"/>
        <s v="Gjesing Kirke"/>
        <s v="Nørager Kirke"/>
        <s v="Stenvad Kirke"/>
        <s v="Trustrup Kirke"/>
        <s v="Albøge Kirke"/>
        <s v="Hammel Kirke"/>
        <s v="Røgen Kirke"/>
        <s v="Sporup Kirke"/>
        <s v="Lyngå Kirke"/>
        <s v="Vitten Kirke"/>
        <s v="Haldum Kirke"/>
        <s v="Haldum Kapel"/>
        <s v="Lading Kirke"/>
        <s v="Grundfør Kirke"/>
        <s v="Grundfør Kapel"/>
        <s v="Søften Kirke"/>
        <s v="Søften Kapel"/>
        <s v="Foldby Kirke"/>
        <s v="Laurbjerg Kirke"/>
        <s v="Lerbjerg Kirke"/>
        <s v="Vissing Kirke"/>
        <s v="Clausholm Slotskapel"/>
        <s v="Voldum Kirke"/>
        <s v="Rud Kirke"/>
        <s v="Ødum Kirke"/>
        <s v="Kollerup Kapel"/>
        <s v="Hadbjerg Kirke"/>
        <s v="Hvorslev Kirke"/>
        <s v="Gerning Kirke"/>
        <s v="Vellev Kirke"/>
        <s v="Aidt Kirke"/>
        <s v="Thorsø Kirke"/>
        <s v="Houlbjerg Kirke"/>
        <s v="Granslev Kirke"/>
        <s v="Haurum Kirke"/>
        <s v="Sall Kirke"/>
        <s v="Skjød Kirke"/>
        <s v="Vester Velling Kirke"/>
        <s v="Sønder Vinge Kirke"/>
        <s v="Ulstrupbro Kirke"/>
        <s v="Over Hadsten Kirke"/>
        <s v="Nørre Galten Kirke"/>
        <s v="Spørring Kirke"/>
        <s v="Trige Kirke"/>
        <s v="Elsted Kirke"/>
        <s v="Elev Kirke"/>
        <s v="Fællesskabets Hus"/>
        <s v="Risskov Kirke"/>
        <s v="Risskov Kirkes Kapel"/>
        <s v="Skødstrup Kirke"/>
        <s v="Todbjerg Kirke"/>
        <s v="Mejlby Kirke"/>
        <s v="Hjortshøj Kirke"/>
        <s v="Egå Kirke"/>
        <s v="Ellevang Kirke"/>
        <s v="Lystrup Kirke"/>
        <s v="Skelager Kirke"/>
        <s v="Skæring Kirke"/>
        <s v="Skejby Kirke"/>
        <s v="Lisbjerg Kirke"/>
        <s v="Kapellet i Skejby, Aarhus Universitetshospital"/>
        <s v="Vitved Kirke"/>
        <s v="Fredenskirken"/>
        <s v="Holme Kirke"/>
        <s v="Holme Kirkegårds Kapel, Aarhus Kommune"/>
        <s v="Lyseng Kirke"/>
        <s v="Tranbjerg Kirke"/>
        <s v="Frederikskirken"/>
        <s v="Moesgård Stavkirke"/>
        <s v="Mårslet Kirke"/>
        <s v="Tiset Kirke"/>
        <s v="Ormslev Kirke"/>
        <s v="Kolt Kirke"/>
        <s v="Bering Valgmenighedskirke"/>
        <s v="Beder Kirke"/>
        <s v="Malling Kirke"/>
        <s v="Hvilsted Kirke"/>
        <s v="Ravnsbjergkirken"/>
        <s v="Støvringgaard Kirkesal"/>
        <s v="Støvringgaard Kloster Kirke"/>
        <s v="Mellerup Valgmenighedskirke"/>
        <s v="Mellerup Kirke"/>
        <s v="Asferg Kirke"/>
        <s v="Fårup Kirke"/>
        <s v="Spentrup Kirke"/>
        <s v="Gassum Kirke"/>
        <s v="Hald Kirke"/>
        <s v="Kærby Kirke"/>
        <s v="Randers Klosterkirke"/>
        <s v="Randers Østre Kapel"/>
        <s v="Kapellet, Regionshospitalet Randers"/>
        <s v="Dronningborg Kirke"/>
        <s v="Tvede Kirke"/>
        <s v="Linde Kirke"/>
        <s v="Havndal Kirke"/>
        <s v="Udbyneder Kirke"/>
        <s v="Dalbyneder Kirke"/>
        <s v="Dalbyover Kirke"/>
        <s v="Råby Kirke"/>
        <s v="Sødring Kirke"/>
        <s v="Øster Tørslev Kirke"/>
        <s v="Gjerlev Kirke"/>
        <s v="Gimming Kirke"/>
        <s v="Harridslev Kirke"/>
        <s v="Nørbæk Kirke"/>
        <s v="Sønderbæk Kirke"/>
        <s v="Læsten Kirke"/>
        <s v="Randers Nordre Kapel"/>
        <s v="Sabro Kirke"/>
        <s v="Borum Kirke"/>
        <s v="Harlev Kirke"/>
        <s v="Framlev Kirke"/>
        <s v="Vestre Lille Kapel"/>
        <s v="Møllevang Kirke"/>
        <s v="Vestre Store Kapel"/>
        <s v="Aarhus Valgmenighed"/>
        <s v="Åbyhøj Kirke"/>
        <s v="Gammel Åby Kirke"/>
        <s v="Brabrand Kirkegårdskapel"/>
        <s v="Brabrand Kirke"/>
        <s v="Sønder Aarslev Kirke"/>
        <s v="Tilst Kirke"/>
        <s v="Kasted Kirke"/>
        <s v="Gellerup Kirke"/>
        <s v="Skjoldhøj Kirke"/>
        <s v="Ribe Domkirke"/>
        <s v="Seem Kirke"/>
        <s v="Sankt Katharine Kirke"/>
        <s v="Ribe Kapel"/>
        <s v="Obbekjær Kirke"/>
        <s v="Hjortlund Kirke"/>
        <s v="Kalvslund Kirke"/>
        <s v="Vester Vedsted Kirke"/>
        <s v="Mandø Kirke"/>
        <s v="Gørding Kirke"/>
        <s v="Vejrup Kirke"/>
        <s v="Darum Kirke"/>
        <s v="Sankt Ansgar Kirke"/>
        <s v="Sct. Ansgar Kapel, Bramming"/>
        <s v="Vilslev Kirke"/>
        <s v="Hunderup Kirke"/>
        <s v="Jernved Kirke"/>
        <s v="Gredstedbro Kirke"/>
        <s v="Vester Nykirke"/>
        <s v="Hviding Kirke"/>
        <s v="Roager Kirke"/>
        <s v="Spandet Kirke"/>
        <s v="Lindknud Kirke"/>
        <s v="Johanneskirkens Kapel"/>
        <s v="Brørup Gl. Kirke"/>
        <s v="Malt Kirke"/>
        <s v="Folding Kirke"/>
        <s v="Vejen Kirke"/>
        <s v="Vejen Kapel"/>
        <s v="Læborg Kirke"/>
        <s v="Veerst Kirke"/>
        <s v="Bække Kirke"/>
        <s v="Andst Kirke"/>
        <s v="Gesten Kirke"/>
        <s v="Lintrup Kirke"/>
        <s v="Hjerting Kirke"/>
        <s v="Rødding Kirkes Kapel"/>
        <s v="Skrave Kirke"/>
        <s v="Øster Lindet Kirke"/>
        <s v="Jels Sognehus"/>
        <s v="Jels Kirke"/>
        <s v="Skodborg Kirke"/>
        <s v="Askov Kirke"/>
        <s v="Stenderup Kirke"/>
        <s v="Hovborg Kirke"/>
        <s v="Skovlund Kirke"/>
        <s v="Strellev Kirke"/>
        <s v="Thorstrup Kirke"/>
        <s v="Hodde Kirke"/>
        <s v="Tistrup Kirke"/>
        <s v="Bejsnap Kirke"/>
        <s v="Ølgod Kirke"/>
        <s v="Ansager Kirke"/>
        <s v="Østerlund Kirkesal"/>
        <s v="Sankt Jacobi Kirke"/>
        <s v="Arnbjerg Kapel"/>
        <s v="Janderup Kirke"/>
        <s v="Billum Kirke"/>
        <s v="Outrup Kirke"/>
        <s v="Kvong Kirke"/>
        <s v="Nørre Nebel Kirke"/>
        <s v="Lydum Kirke"/>
        <s v="Henne Kirke"/>
        <s v="Lønne Kirke"/>
        <s v="Vester Starup Kirke"/>
        <s v="Øse Kirke"/>
        <s v="Næsbjerg Kirke"/>
        <s v="Fåborg Kirke"/>
        <s v="Årre Kirke"/>
        <s v="Agerbæk Kirke"/>
        <s v="Mosevrå Kirke"/>
        <s v="Oksby Kirke"/>
        <s v="Ho Kirke"/>
        <s v="Rousthøje Kirke"/>
        <s v="Aal Kirke"/>
        <s v="Børsmose Kirke"/>
        <s v="Kapel, Sydvestjysk Sygehus i Esbjerg"/>
        <s v="Zions Kirke"/>
        <s v="Gravlundens Kapel, Fovrfeld Gravlund, Esbjerg"/>
        <s v="Treenighedskirken"/>
        <s v="Gormsgade Kapel, Esbjerg"/>
        <s v="Jerne Kirke"/>
        <s v="Novrup Kapel, Esbjerg"/>
        <s v="Skads Kirke"/>
        <s v="Grimstrup Kirke"/>
        <s v="Sneum Kirke"/>
        <s v="Tjæreborg Kirke"/>
        <s v="Bryndum Kirke"/>
        <s v="Vester Nebel Kirke"/>
        <s v="Hostrup Kirke"/>
        <s v="Guldager Kirke"/>
        <s v="Grundtvigskirken"/>
        <s v="Kvaglund Kirke"/>
        <s v="Sædden Kirke"/>
        <s v="Sønderho Kirke"/>
        <s v="Nørre Omme Kirke"/>
        <s v="Brejning Kirke"/>
        <s v="Vorgod Kirke"/>
        <s v="Nørre Vium Kirke"/>
        <s v="Herborg Kirke"/>
        <s v="Videbæk Kapel"/>
        <s v="Videbæk Kirke"/>
        <s v="Dejbjerg Kirke"/>
        <s v="Hanning Kirke"/>
        <s v="Stauning Kirke"/>
        <s v="Bølling Kirke"/>
        <s v="Sædding Kirke"/>
        <s v="Borris Kirke"/>
        <s v="Faster Kirke"/>
        <s v="Sønder Bork Kirke"/>
        <s v="Sankt Erasmus Kirke"/>
        <s v="Nørre Bork Kirke"/>
        <s v="Hemmet Kirke"/>
        <s v="Sønder Vium Kirke"/>
        <s v="Lønborg Kirke"/>
        <s v="Egvad Kirke"/>
        <s v="Ådum Kirke"/>
        <s v="Hoven Kirke"/>
        <s v="Lyne Kirke"/>
        <s v="Tarm Kirkehus"/>
        <s v="Tarm Kirkegårdskapel"/>
        <s v="Tarm Kirke"/>
        <s v="Troldhede Kirke"/>
        <s v="Væggerskilde Kirke"/>
        <s v="Fjelstervang Kirke"/>
        <s v="Sønder Nissum Kirke"/>
        <s v="Thorsminde Kirke"/>
        <s v="Staby Kirke"/>
        <s v="Ulfborg Kirke"/>
        <s v="Ulfkær Kirke"/>
        <s v="Ringkøbing Kirke"/>
        <s v="Ringkøbing Kapel"/>
        <s v="Rindum Kirke"/>
        <s v="Velling Kirke"/>
        <s v="Hee Kirke"/>
        <s v="No Kirke"/>
        <s v="Hover Kirke"/>
        <s v="Stadil Kirke"/>
        <s v="Tim Kirke"/>
        <s v="Madum Kirke"/>
        <s v="Vedersø Kirke"/>
        <s v="Ny Sogn Kirke"/>
        <s v="Gammel Sogn Kirke"/>
        <s v="Sønder Lem Kirke"/>
        <s v="Ølstrup Kirke"/>
        <s v="Nørre Gørding Kirke"/>
        <s v="Vemb Kirke"/>
        <s v="Bur Kirke"/>
        <s v="Hvide Sande Kirke"/>
        <s v="Haurvig Kirke"/>
        <s v="Lyngvig Kirke"/>
        <s v="Givskud Kirke"/>
        <s v="Øster Nykirke"/>
        <s v="Thyregod Kirke"/>
        <s v="Vester Kirke"/>
        <s v="Sønder Omme Kirke"/>
        <s v="Filskov Kirke"/>
        <s v="Ringive Kirke"/>
        <s v="Give Kirke"/>
        <s v="Gadbjerg Kirke"/>
        <s v="Lindeballe Kirke"/>
        <s v="Nørup Kirke"/>
        <s v="Randbøl Kirke"/>
        <s v="Grindsted Kirkes Kapel"/>
        <s v="Grindsted Kirke"/>
        <s v="Grene Kirke"/>
        <s v="Billund Kirke"/>
        <s v="Grene Kirkes Kapel"/>
        <s v="Vorbasse Kirke"/>
        <s v="Hejnsvig Kirke"/>
        <s v="Urup Kirke"/>
        <s v="Nollund Kirke"/>
        <s v="Vesterhede Kirke"/>
        <s v="Skjoldbjerg Kirke"/>
        <s v="Farre Kirke"/>
        <s v="Vorslunde Kirke"/>
        <s v="Langelund Kirke"/>
        <s v="Vonge Kirke"/>
        <s v="Agerskov Kirke"/>
        <s v="Tirslund Kirke"/>
        <s v="Branderup Kirke"/>
        <s v="Toftlund Kirke"/>
        <s v="Rejsby Kirke"/>
        <s v="Brøns Kirke"/>
        <s v="Vodder Kirke"/>
        <s v="Arrild Kirke"/>
        <s v="Renbæk Kirke"/>
        <s v="Skærbæk Kirke"/>
        <s v="Ubjerg Kirke"/>
        <s v="Abild Kirke"/>
        <s v="Daler Kirke"/>
        <s v="Møgeltønder Kirke"/>
        <s v="Løgumkloster Kirke"/>
        <s v="Nørre Løgum Kirke"/>
        <s v="Brede Kirke"/>
        <s v="Mjolden Kirke"/>
        <s v="Randerup Kirke"/>
        <s v="Højer Kirke"/>
        <s v="Emmerlev Kirke"/>
        <s v="Hjerpsted Kirke"/>
        <s v="Ballum Kirke"/>
        <s v="Sønder Skast Kirke"/>
        <s v="Højst Kirke"/>
        <s v="Tønder Kirkegårdskapel"/>
        <s v="Tønder Kristkirke"/>
        <s v="Gram Kirke"/>
        <s v="Fole Kirke"/>
        <s v="Nustrup Kirke"/>
        <s v="Skrydstrup Kirke"/>
        <s v="Bevtoft Kirke"/>
        <s v="Hertug Hans Hospitalskirke"/>
        <s v="Assistens Kirkegårdskapel"/>
        <s v="Sankt Severin Kirke"/>
        <s v="Halk Kirke"/>
        <s v="Hoptrup Kirke"/>
        <s v="Moltrup Kirke"/>
        <s v="Bjerning Kirke"/>
        <s v="Årø Kirke"/>
        <s v="Øsby Kirke"/>
        <s v="Sønder Starup Kirke"/>
        <s v="Grarup Kirke"/>
        <s v="Vilstrup Kirke"/>
        <s v="Vonsbæk Kirke"/>
        <s v="Maugstrup Kirke"/>
        <s v="Vojens Kirke"/>
        <s v="Vojens Kirkes kapel"/>
        <s v="Jegerup Kirke"/>
        <s v="Oksenvad Kirke"/>
        <s v="Sommersted Kirke"/>
        <s v="Sommersted kirkes kapel"/>
        <s v="Fjelstrup Kirke"/>
        <s v="Hjerndrup Kirke"/>
        <s v="Højrup Kirke"/>
        <s v="Aabenraa Sygehus Kapel"/>
        <s v="Aabenraa Kirkegårdskapel"/>
        <s v="Høje Kolstrup Kirke"/>
        <s v="Hjordkær Kirke"/>
        <s v="Løjt Kirke"/>
        <s v="Bjolderup Kirke"/>
        <s v="Øster Løgum Kirke"/>
        <s v="Varnæs Kirke"/>
        <s v="Ensted Kirke"/>
        <s v="Felsted Kirke"/>
        <s v="Holbøl Kirke"/>
        <s v="Uge Kirke"/>
        <s v="Kliplev Kirke"/>
        <s v="Bov Kirke"/>
        <s v="Bov Kirkegårds Kapel"/>
        <s v="Burkal Kirke"/>
        <s v="Bylderup Kirke"/>
        <s v="Ravsted Kirke"/>
        <s v="Tinglev Kirke"/>
        <s v="Genner Kirke"/>
        <s v="Sankt Marie Kirkes Kapel"/>
        <s v="Sankt Marie Kirke"/>
        <s v="Sønderborg Sygehus Kapel"/>
        <s v="Christianskirkens Krypt"/>
        <s v="Augustenborg Slotskirke"/>
        <s v="Augustenborg Kirkegårds Kapel"/>
        <s v="Ketting Kirke"/>
        <s v="Ulkebøl Kirke"/>
        <s v="Asserballe Kirke"/>
        <s v="Tandslet Kirke"/>
        <s v="Lysabild Kirke"/>
        <s v="Nordborg kirkegårds kapel"/>
        <s v="Nordborg Kirke"/>
        <s v="Havnbjerg Kirke"/>
        <s v="Egen Kirke"/>
        <s v="Broager Kirke"/>
        <s v="Broager Kirkegårdskapel"/>
        <s v="Egernsund Kirke"/>
        <s v="Dybbøl kapel"/>
        <s v="Dybbøl Kirke"/>
        <s v="Nybøl Kirke"/>
        <s v="Sottrup Kirke"/>
        <s v="Ullerup Kirke"/>
        <s v="Rinkenæs gamle kirke"/>
        <s v="Rinkenæs Korskirke"/>
        <s v="Kværs Kirke"/>
        <s v="Adsbøl Kirke"/>
        <s v="Gråsten Slotskirke"/>
        <s v="Gråsten Kapel"/>
        <s v="Fredericia Sygehus kapel"/>
        <s v="Egeskov Kirke"/>
        <s v="Kirkesalen Ulleruphus"/>
        <s v="Ulleruphus Kirkesal"/>
        <s v="Sankt Michaelis Kirke"/>
        <s v="Erritsø Kirke"/>
        <s v="Bredstrup Kirke"/>
        <s v="Taulov Kirke"/>
        <s v="Pjedsted Kirke"/>
        <s v="Hannerup Kirke"/>
        <s v="Lyng Kirke"/>
        <s v="Gamle kirkegårds kapel, Kolding"/>
        <s v="Søndre Kapel, Kolding"/>
        <s v="Brændkjærkirken"/>
        <s v="Eltang Kirke"/>
        <s v="Sønder Vilstrup Kirke"/>
        <s v="Nørre Bjert Kirkes kapel"/>
        <s v="Nørre Bjert Kirke"/>
        <s v="Harte Kirke"/>
        <s v="Bramdrup Kirke"/>
        <s v="Bramdrup Sognegård"/>
        <s v="Viuf Kirke"/>
        <s v="Vonsild Kirke"/>
        <s v="Sønder Bjert Kirke"/>
        <s v="Sønder Stenderup Kirke"/>
        <s v="Hejls Kirke"/>
        <s v="Ødis Kirke"/>
        <s v="Taps Kirke"/>
        <s v="Lejrskov Kirke"/>
        <s v="Jordrup Kirke"/>
        <s v="Skanderup Valgmenighedskirke"/>
        <s v="Seest Kirke"/>
        <s v="Hjarup Kirke"/>
        <s v="Aller Kirke"/>
        <s v="Stepping Kirke"/>
        <s v="Tyrstrup Kirke"/>
        <s v="Vamdrup Kirke"/>
        <s v="Nordre Kapel, Kolding"/>
        <s v="Nordre Kapel"/>
        <s v="Kolding Sygehus Kapel"/>
        <s v="Sygehusets Kapel"/>
        <s v="Hornstrup Kirke"/>
        <s v="Grejs Kirke"/>
        <s v="Bredsten Kirke"/>
        <s v="Balle Valgmenighedskirke"/>
        <s v="Skibet Kirke"/>
        <s v="Jelling Kirke"/>
        <s v="Grejsdal Kirke"/>
        <s v="Vindelev Kirke"/>
        <s v="Gauerslund Kirke"/>
        <s v="Skærup Kirke"/>
        <s v="Mølholm Kirke"/>
        <s v="Smidstrup Kirke"/>
        <s v="Gårslev Kirke"/>
        <s v="Højen Kirke"/>
        <s v="Jerlev Kirke"/>
        <s v="Egtved kirkegårds kapel"/>
        <s v="Egtved Kirke"/>
        <s v="Ødsted Kirke"/>
        <s v="Øster Starup Kirke"/>
        <s v="Øster Starup kirkegårds kapel"/>
        <s v="Engum Kirke"/>
        <s v="Skovkapellet"/>
        <s v="Nørremarkskirken"/>
        <s v="Bredballe Kirke"/>
        <s v="Bredballe Kirkegårdskapel"/>
        <s v="Hvejsel Kirke"/>
        <s v="Ildved Kirke"/>
        <s v="Løget Kirke"/>
        <s v="Øster Snede Kirke"/>
        <s v="Sindbjerg Kirke"/>
        <s v="Uldum Kirke"/>
        <s v="Langskov Kirke"/>
        <s v="Nebsager Kirke"/>
        <s v="Bjerre Kirke"/>
        <s v="Urlev Kirke"/>
        <s v="Daugård Kirke"/>
        <s v="Stouby Kirke"/>
        <s v="Hornum Kirke"/>
        <s v="Barrit Kirke"/>
        <s v="Vrigsted Kirke"/>
        <s v="As Kirke"/>
        <s v="Klakring Kirke"/>
        <s v="Møgelkær Kirke"/>
        <s v="Rårup Kirke"/>
        <s v="Skjold Kirke"/>
        <s v="Glud Kirke"/>
        <s v="Hjarnø Kirke"/>
        <s v="Løsning gamle kirke"/>
        <s v="Løsning Kirke"/>
        <s v="Korning Kirke"/>
        <s v="Hedensted Kirke"/>
        <s v="Hedensted Kapel, Hedensted"/>
        <s v="Store Dalby Kirke"/>
        <s v="Aale Kirke"/>
        <s v="Linnerup Kirke"/>
        <s v="Tørring Kirke, Kapellet"/>
        <s v="Hvirring Kirke"/>
        <s v="Hornborg Kirke"/>
        <s v="Juelsminde Kirke"/>
        <s v="Klejs Kirke"/>
        <m/>
      </sharedItems>
    </cacheField>
    <cacheField name="Kirketype" numFmtId="0">
      <sharedItems containsBlank="1" count="5">
        <s v="Kirke"/>
        <s v="Filialkirke"/>
        <s v="Kirkesal"/>
        <s v="Fængselskirk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8">
  <r>
    <x v="0"/>
    <x v="0"/>
    <s v="7011"/>
    <s v="Bethlehem Sogn"/>
    <s v="Bethlehemskirken"/>
    <s v="Kirke"/>
  </r>
  <r>
    <x v="0"/>
    <x v="0"/>
    <s v="7050"/>
    <s v="Anna Sogn"/>
    <s v="Anna Kirke"/>
    <s v="Kirke"/>
  </r>
  <r>
    <x v="0"/>
    <x v="0"/>
    <s v="7051"/>
    <s v="Sankt Stefans Sogn"/>
    <s v="Sankt Stefans Kirke"/>
    <s v="Kirke"/>
  </r>
  <r>
    <x v="0"/>
    <x v="0"/>
    <s v="7053"/>
    <s v="Kingo-Samuel Sogn"/>
    <s v="Kingos Kirke"/>
    <s v="Kirke"/>
  </r>
  <r>
    <x v="0"/>
    <x v="0"/>
    <s v="9161"/>
    <s v="Blågårdens Sogn"/>
    <s v="Hellig Kors Kirke"/>
    <s v="Filialkirke"/>
  </r>
  <r>
    <x v="0"/>
    <x v="0"/>
    <s v="9161"/>
    <s v="Blågårdens Sogn"/>
    <s v="Brorsons Kirke"/>
    <s v="Filialkirke"/>
  </r>
  <r>
    <x v="0"/>
    <x v="0"/>
    <s v="9169"/>
    <s v="Simeon-Sankt Johannes Sogn"/>
    <s v="Rigshospitalets Kapel"/>
    <s v="Kirke"/>
  </r>
  <r>
    <x v="0"/>
    <x v="0"/>
    <s v="9169"/>
    <s v="Simeon-Sankt Johannes Sogn"/>
    <s v="Rigshospitalets Kirke"/>
    <s v="Filialkirke"/>
  </r>
  <r>
    <x v="0"/>
    <x v="0"/>
    <s v="9169"/>
    <s v="Simeon-Sankt Johannes Sogn"/>
    <s v="Kirkesalen, Blegdamsvejens Arrest"/>
    <s v="Kirke"/>
  </r>
  <r>
    <x v="0"/>
    <x v="0"/>
    <s v="9169"/>
    <s v="Simeon-Sankt Johannes Sogn"/>
    <s v="Simeons Kirke"/>
    <s v="Kirke"/>
  </r>
  <r>
    <x v="0"/>
    <x v="0"/>
    <s v="9169"/>
    <s v="Simeon-Sankt Johannes Sogn"/>
    <s v="Sankt Johannes Kirke"/>
    <s v="Kirke"/>
  </r>
  <r>
    <x v="0"/>
    <x v="0"/>
    <s v="9169"/>
    <s v="Simeon-Sankt Johannes Sogn"/>
    <s v="De Gamles Bys Kirke"/>
    <s v="Kirke"/>
  </r>
  <r>
    <x v="0"/>
    <x v="1"/>
    <s v="7102"/>
    <s v="Sankt Lukas Sogn"/>
    <s v="Sankt Lukas Kirke"/>
    <s v="Kirke"/>
  </r>
  <r>
    <x v="0"/>
    <x v="1"/>
    <s v="7103"/>
    <s v="Solbjerg Sogn"/>
    <s v="Emmauskirken"/>
    <s v="Kirkesal"/>
  </r>
  <r>
    <x v="0"/>
    <x v="1"/>
    <s v="7103"/>
    <s v="Solbjerg Sogn"/>
    <s v="Solbjerg Kirke"/>
    <s v="Kirke"/>
  </r>
  <r>
    <x v="0"/>
    <x v="1"/>
    <s v="7104"/>
    <s v="Lindevang Sogn"/>
    <s v="Lindevang Kirke"/>
    <s v="Kirke"/>
  </r>
  <r>
    <x v="0"/>
    <x v="1"/>
    <s v="7105"/>
    <s v="Flintholm Sogn"/>
    <s v="Flintholm Kirke"/>
    <s v="Kirke"/>
  </r>
  <r>
    <x v="0"/>
    <x v="1"/>
    <s v="7105"/>
    <s v="Flintholm Sogn"/>
    <s v="Akaciegårdens Kapel, Skellet, Frederiksberg"/>
    <s v="Kirke"/>
  </r>
  <r>
    <x v="0"/>
    <x v="1"/>
    <s v="7106"/>
    <s v="Sankt Thomas Sogn"/>
    <s v="De Døves Kirke"/>
    <s v="Kirkesal"/>
  </r>
  <r>
    <x v="0"/>
    <x v="1"/>
    <s v="7106"/>
    <s v="Sankt Thomas Sogn"/>
    <s v="Sankt Thomas Kirke"/>
    <s v="Kirke"/>
  </r>
  <r>
    <x v="0"/>
    <x v="1"/>
    <s v="7107"/>
    <s v="Mariendals Sogn"/>
    <s v="Mariendals Kirke"/>
    <s v="Kirke"/>
  </r>
  <r>
    <x v="0"/>
    <x v="1"/>
    <s v="7108"/>
    <s v="Godthaabs Sogn"/>
    <s v="Frederiksberg Hospitalskirke"/>
    <s v="Filialkirke"/>
  </r>
  <r>
    <x v="0"/>
    <x v="1"/>
    <s v="7108"/>
    <s v="Godthaabs Sogn"/>
    <s v="Godthaabskirken"/>
    <s v="Kirke"/>
  </r>
  <r>
    <x v="0"/>
    <x v="1"/>
    <s v="7108"/>
    <s v="Godthaabs Sogn"/>
    <s v="Frederiksberg Hospitals Kapel"/>
    <s v="Kirke"/>
  </r>
  <r>
    <x v="0"/>
    <x v="1"/>
    <s v="7109"/>
    <s v="Sankt Markus Sogn"/>
    <s v="Sankt Markus Kirke"/>
    <s v="Kirke"/>
  </r>
  <r>
    <x v="0"/>
    <x v="1"/>
    <s v="7109"/>
    <s v="Sankt Markus Sogn"/>
    <s v="Immanuelskirken"/>
    <s v="Kirkesal"/>
  </r>
  <r>
    <x v="0"/>
    <x v="1"/>
    <s v="9181"/>
    <s v="Frederiksberg Sogn"/>
    <s v="Frederiksberg Slotskirke"/>
    <s v="Kirke"/>
  </r>
  <r>
    <x v="0"/>
    <x v="1"/>
    <s v="9181"/>
    <s v="Frederiksberg Sogn"/>
    <s v="Frederiksberg Kirke"/>
    <s v="Kirke"/>
  </r>
  <r>
    <x v="0"/>
    <x v="1"/>
    <s v="9181"/>
    <s v="Frederiksberg Sogn"/>
    <s v="Søndermark Krematoriums Lille Sal"/>
    <s v="Kirke"/>
  </r>
  <r>
    <x v="0"/>
    <x v="1"/>
    <s v="9181"/>
    <s v="Frederiksberg Sogn"/>
    <s v="Søndermark Krematoriums Store Sal"/>
    <s v="Kirke"/>
  </r>
  <r>
    <x v="0"/>
    <x v="2"/>
    <s v="7552"/>
    <s v="Rønne Sogn"/>
    <s v="Sankt Nicolai Kirke"/>
    <s v="Kirke"/>
  </r>
  <r>
    <x v="0"/>
    <x v="2"/>
    <s v="7552"/>
    <s v="Rønne Sogn"/>
    <s v="Rønne Kapel"/>
    <s v="Kirke"/>
  </r>
  <r>
    <x v="0"/>
    <x v="2"/>
    <s v="7552"/>
    <s v="Rønne Sogn"/>
    <s v="Bornholms Hospitals Kapel"/>
    <s v="Kirke"/>
  </r>
  <r>
    <x v="0"/>
    <x v="2"/>
    <s v="7553"/>
    <s v="Knudsker Sogn"/>
    <s v="Sankt Knuds Kirke"/>
    <s v="Kirke"/>
  </r>
  <r>
    <x v="0"/>
    <x v="2"/>
    <s v="7554"/>
    <s v="Vestermarie Sogn"/>
    <s v="Vestermarie Kirke"/>
    <s v="Kirke"/>
  </r>
  <r>
    <x v="0"/>
    <x v="2"/>
    <s v="7555"/>
    <s v="Nylarsker Sogn"/>
    <s v="Nylars Kirke"/>
    <s v="Kirke"/>
  </r>
  <r>
    <x v="0"/>
    <x v="2"/>
    <s v="7556"/>
    <s v="Nyker Sogn"/>
    <s v="Ny Kirke"/>
    <s v="Kirke"/>
  </r>
  <r>
    <x v="0"/>
    <x v="2"/>
    <s v="7557"/>
    <s v="Hasle Sogn"/>
    <s v="Hasle Kirke"/>
    <s v="Kirke"/>
  </r>
  <r>
    <x v="0"/>
    <x v="2"/>
    <s v="7557"/>
    <s v="Hasle Sogn"/>
    <s v="Hasle Strandkirke"/>
    <s v="Kirkesal"/>
  </r>
  <r>
    <x v="0"/>
    <x v="2"/>
    <s v="7557"/>
    <s v="Hasle Sogn"/>
    <s v="Hasle Kapel, Bornholm"/>
    <s v="Kirke"/>
  </r>
  <r>
    <x v="0"/>
    <x v="2"/>
    <s v="7558"/>
    <s v="Rutsker Sogn"/>
    <s v="Ruts Kirke"/>
    <s v="Kirke"/>
  </r>
  <r>
    <x v="0"/>
    <x v="2"/>
    <s v="7559"/>
    <s v="Olsker Sogn"/>
    <s v="Sankt Ols Kirke"/>
    <s v="Kirke"/>
  </r>
  <r>
    <x v="0"/>
    <x v="2"/>
    <s v="7559"/>
    <s v="Olsker Sogn"/>
    <s v="Tejn Kirke"/>
    <s v="Filialkirke"/>
  </r>
  <r>
    <x v="0"/>
    <x v="2"/>
    <s v="7560"/>
    <s v="Allinge-Sandvig Sogn"/>
    <s v="Allinge Kapel"/>
    <s v="Filialkirke"/>
  </r>
  <r>
    <x v="0"/>
    <x v="2"/>
    <s v="7560"/>
    <s v="Allinge-Sandvig Sogn"/>
    <s v="Allinge Kirke"/>
    <s v="Kirke"/>
  </r>
  <r>
    <x v="0"/>
    <x v="2"/>
    <s v="7561"/>
    <s v="Klemensker Sogn"/>
    <s v="Sankt Clemens Kirke"/>
    <s v="Kirke"/>
  </r>
  <r>
    <x v="0"/>
    <x v="2"/>
    <s v="7562"/>
    <s v="Rø Sogn"/>
    <s v="Rø Kirke"/>
    <s v="Kirke"/>
  </r>
  <r>
    <x v="0"/>
    <x v="2"/>
    <s v="7563"/>
    <s v="Ibsker Sogn"/>
    <s v="Sankt Ibs Kirke"/>
    <s v="Kirke"/>
  </r>
  <r>
    <x v="0"/>
    <x v="2"/>
    <s v="7564"/>
    <s v="Svaneke Sogn"/>
    <s v="Svaneke Kirke"/>
    <s v="Kirke"/>
  </r>
  <r>
    <x v="0"/>
    <x v="2"/>
    <s v="7565"/>
    <s v="Østerlarsker Sogn"/>
    <s v="Østerlars Kirke"/>
    <s v="Kirke"/>
  </r>
  <r>
    <x v="0"/>
    <x v="2"/>
    <s v="7566"/>
    <s v="Gudhjem Sogn"/>
    <s v="Gudhjem Kirke"/>
    <s v="Kirke"/>
  </r>
  <r>
    <x v="0"/>
    <x v="2"/>
    <s v="7567"/>
    <s v="Østermarie Sogn"/>
    <s v="Østermarie Kirke"/>
    <s v="Kirke"/>
  </r>
  <r>
    <x v="0"/>
    <x v="2"/>
    <s v="7568"/>
    <s v="Christiansø Sogn"/>
    <s v="Christiansø Kirke"/>
    <s v="Kirke"/>
  </r>
  <r>
    <x v="0"/>
    <x v="2"/>
    <s v="7569"/>
    <s v="Aaker Sogn"/>
    <s v="Aa Kirke"/>
    <s v="Kirke"/>
  </r>
  <r>
    <x v="0"/>
    <x v="2"/>
    <s v="7570"/>
    <s v="Bodilsker Sogn"/>
    <s v="Sankt Bodils Kirke"/>
    <s v="Kirke"/>
  </r>
  <r>
    <x v="0"/>
    <x v="2"/>
    <s v="7571"/>
    <s v="Nexø Sogn"/>
    <s v="Nexø Kirkes kapel"/>
    <s v="Kirke"/>
  </r>
  <r>
    <x v="0"/>
    <x v="2"/>
    <s v="7571"/>
    <s v="Nexø Sogn"/>
    <s v="Nexø Kirke"/>
    <s v="Kirke"/>
  </r>
  <r>
    <x v="0"/>
    <x v="2"/>
    <s v="7572"/>
    <s v="Poulsker Sogn"/>
    <s v="Sankt Povls Kirke"/>
    <s v="Kirke"/>
  </r>
  <r>
    <x v="0"/>
    <x v="2"/>
    <s v="7573"/>
    <s v="Pedersker Sogn"/>
    <s v="Sankt Peders Kirke"/>
    <s v="Kirke"/>
  </r>
  <r>
    <x v="0"/>
    <x v="3"/>
    <s v="7061"/>
    <s v="Ansgarkirkens Sogn"/>
    <s v="Ansgarkirken"/>
    <s v="Kirke"/>
  </r>
  <r>
    <x v="0"/>
    <x v="3"/>
    <s v="7062"/>
    <s v="Kapernaums Sogn"/>
    <s v="Kapernaumskirken"/>
    <s v="Kirke"/>
  </r>
  <r>
    <x v="0"/>
    <x v="3"/>
    <s v="7063"/>
    <s v="Tagensbo Sogn"/>
    <s v="Tagensbo Kirke"/>
    <s v="Kirke"/>
  </r>
  <r>
    <x v="0"/>
    <x v="3"/>
    <s v="7064"/>
    <s v="Bispebjerg Sogn"/>
    <s v="Bispebjerg Hospital"/>
    <s v="Kirke"/>
  </r>
  <r>
    <x v="0"/>
    <x v="3"/>
    <s v="7064"/>
    <s v="Bispebjerg Sogn"/>
    <s v="Grundtvigs Kirke"/>
    <s v="Kirke"/>
  </r>
  <r>
    <x v="0"/>
    <x v="3"/>
    <s v="7064"/>
    <s v="Bispebjerg Sogn"/>
    <s v="Bispebjerg Hospitals Kapel"/>
    <s v="Kirke"/>
  </r>
  <r>
    <x v="0"/>
    <x v="3"/>
    <s v="7064"/>
    <s v="Bispebjerg Sogn"/>
    <s v="Bispebjerg Kirkegårds Søndre Kapel"/>
    <s v="Kirke"/>
  </r>
  <r>
    <x v="0"/>
    <x v="3"/>
    <s v="7065"/>
    <s v="Emdrup Sogn"/>
    <s v="Emdrup Kirke"/>
    <s v="Kirke"/>
  </r>
  <r>
    <x v="0"/>
    <x v="3"/>
    <s v="7067"/>
    <s v="Husum Sogn"/>
    <s v="Husum Kirke"/>
    <s v="Kirke"/>
  </r>
  <r>
    <x v="0"/>
    <x v="3"/>
    <s v="7068"/>
    <s v="Brønshøj Sogn"/>
    <s v="Brønshøj Kirke"/>
    <s v="Kirke"/>
  </r>
  <r>
    <x v="0"/>
    <x v="3"/>
    <s v="7070"/>
    <s v="Husumvold Sogn"/>
    <s v="Husumvold Kirke"/>
    <s v="Kirke"/>
  </r>
  <r>
    <x v="0"/>
    <x v="3"/>
    <s v="9133"/>
    <s v="Tingbjerg Sogn"/>
    <s v="Tingbjerg Kirke"/>
    <s v="Kirke"/>
  </r>
  <r>
    <x v="0"/>
    <x v="3"/>
    <s v="9182"/>
    <s v="Bellahøj-Utterslev Sogn"/>
    <s v="Utterslev Kirke"/>
    <s v="Kirke"/>
  </r>
  <r>
    <x v="0"/>
    <x v="3"/>
    <s v="9182"/>
    <s v="Bellahøj-Utterslev Sogn"/>
    <s v="Bellahøj Kirke"/>
    <s v="Kirke"/>
  </r>
  <r>
    <x v="0"/>
    <x v="4"/>
    <s v="7024"/>
    <s v="Valby Sogn"/>
    <s v="Jesuskirken"/>
    <s v="Kirke"/>
  </r>
  <r>
    <x v="0"/>
    <x v="4"/>
    <s v="7026"/>
    <s v="Timotheus Sogn"/>
    <s v="Timotheus Kirke"/>
    <s v="Kirke"/>
  </r>
  <r>
    <x v="0"/>
    <x v="4"/>
    <s v="7027"/>
    <s v="Vigerslev Sogn"/>
    <s v="Vigerslev Kirke"/>
    <s v="Kirke"/>
  </r>
  <r>
    <x v="0"/>
    <x v="4"/>
    <s v="7028"/>
    <s v="Aalholm Sogn"/>
    <s v="Aalholm Kirke"/>
    <s v="Kirke"/>
  </r>
  <r>
    <x v="0"/>
    <x v="4"/>
    <s v="7057"/>
    <s v="Hyltebjerg Sogn"/>
    <s v="Hyltebjerg Kirkesal"/>
    <s v="Kirke"/>
  </r>
  <r>
    <x v="0"/>
    <x v="4"/>
    <s v="7057"/>
    <s v="Hyltebjerg Sogn"/>
    <s v="Københavns Højskoleforening, Haven"/>
    <s v="Kirke"/>
  </r>
  <r>
    <x v="0"/>
    <x v="4"/>
    <s v="7057"/>
    <s v="Hyltebjerg Sogn"/>
    <s v="Hyltebjerg Kirke"/>
    <s v="Kirke"/>
  </r>
  <r>
    <x v="0"/>
    <x v="4"/>
    <s v="7058"/>
    <s v="Vanløse Sogn"/>
    <s v="Vanløse Kirke"/>
    <s v="Kirke"/>
  </r>
  <r>
    <x v="0"/>
    <x v="4"/>
    <s v="7059"/>
    <s v="Advents Sogn"/>
    <s v="Adventskirken"/>
    <s v="Kirke"/>
  </r>
  <r>
    <x v="0"/>
    <x v="4"/>
    <s v="7060"/>
    <s v="Grøndals Sogn"/>
    <s v="Grøndalskirken"/>
    <s v="Kirke"/>
  </r>
  <r>
    <x v="0"/>
    <x v="4"/>
    <s v="9190"/>
    <s v="Valby Søndre Sogn"/>
    <s v="Margrethekirken"/>
    <s v="Kirke"/>
  </r>
  <r>
    <x v="0"/>
    <x v="4"/>
    <s v="9190"/>
    <s v="Valby Søndre Sogn"/>
    <s v="Johannes Døbers Kirke"/>
    <s v="Kirke"/>
  </r>
  <r>
    <x v="0"/>
    <x v="5"/>
    <s v="7081"/>
    <s v="Christians Sogn"/>
    <s v="Christians Kirke"/>
    <s v="Kirke"/>
  </r>
  <r>
    <x v="0"/>
    <x v="5"/>
    <s v="7082"/>
    <s v="Vor Frelsers Sogn"/>
    <s v="Vor Frelsers Kirke"/>
    <s v="Kirke"/>
  </r>
  <r>
    <x v="0"/>
    <x v="5"/>
    <s v="7083"/>
    <s v="Nathanaels Sogn"/>
    <s v="Nathanaels Kirke"/>
    <s v="Kirke"/>
  </r>
  <r>
    <x v="0"/>
    <x v="5"/>
    <s v="7084"/>
    <s v="Sundby Sogn"/>
    <s v="Sundby Kirke"/>
    <s v="Kirke"/>
  </r>
  <r>
    <x v="0"/>
    <x v="5"/>
    <s v="7085"/>
    <s v="Allehelgens Sogn"/>
    <s v="Allehelgens Kirke"/>
    <s v="Kirke"/>
  </r>
  <r>
    <x v="0"/>
    <x v="5"/>
    <s v="7086"/>
    <s v="Filips Sogn"/>
    <s v="Filips Kirke"/>
    <s v="Kirke"/>
  </r>
  <r>
    <x v="0"/>
    <x v="5"/>
    <s v="7086"/>
    <s v="Filips Sogn"/>
    <s v="Amager Hospitals Kapel"/>
    <s v="Kirke"/>
  </r>
  <r>
    <x v="0"/>
    <x v="5"/>
    <s v="7086"/>
    <s v="Filips Sogn"/>
    <s v="Sundby Kirkegårds Kapel"/>
    <s v="Kirke"/>
  </r>
  <r>
    <x v="0"/>
    <x v="5"/>
    <s v="7087"/>
    <s v="Sundkirkens Sogn"/>
    <s v="Sundkirken"/>
    <s v="Kirke"/>
  </r>
  <r>
    <x v="0"/>
    <x v="5"/>
    <s v="7088"/>
    <s v="Højdevangs Sogn"/>
    <s v="Højdevangskirken"/>
    <s v="Kirke"/>
  </r>
  <r>
    <x v="0"/>
    <x v="5"/>
    <s v="7089"/>
    <s v="Simon Peters Sogn"/>
    <s v="Simon Peters Kirke"/>
    <s v="Kirke"/>
  </r>
  <r>
    <x v="0"/>
    <x v="5"/>
    <s v="7090"/>
    <s v="Solvang Sogn"/>
    <s v="Solvang Kirke"/>
    <s v="Kirke"/>
  </r>
  <r>
    <x v="0"/>
    <x v="5"/>
    <s v="7090"/>
    <s v="Solvang Sogn"/>
    <s v="Ørestad Plejecenter"/>
    <s v="Kirke"/>
  </r>
  <r>
    <x v="0"/>
    <x v="5"/>
    <s v="7090"/>
    <s v="Solvang Sogn"/>
    <s v="Peder Lykke Centrets Kapel"/>
    <s v="Kirke"/>
  </r>
  <r>
    <x v="0"/>
    <x v="5"/>
    <s v="9345"/>
    <s v="Islands Brygges Sogn"/>
    <s v="Hans Tausens Kirke"/>
    <s v="Kirke"/>
  </r>
  <r>
    <x v="0"/>
    <x v="5"/>
    <s v="9352"/>
    <s v="Ørestad Sogn"/>
    <s v="Kirken i Ørestad"/>
    <s v="Kirke"/>
  </r>
  <r>
    <x v="0"/>
    <x v="6"/>
    <s v="7190"/>
    <s v="Tårnby Sogn"/>
    <s v="Tårnby Kirke"/>
    <s v="Kirke"/>
  </r>
  <r>
    <x v="0"/>
    <x v="6"/>
    <s v="7191"/>
    <s v="Kastrup Sogn"/>
    <s v="Kastrup Kirke"/>
    <s v="Kirke"/>
  </r>
  <r>
    <x v="0"/>
    <x v="6"/>
    <s v="7191"/>
    <s v="Kastrup Sogn"/>
    <s v="Kastrup Kirkegårds Kapel"/>
    <s v="Kirke"/>
  </r>
  <r>
    <x v="0"/>
    <x v="6"/>
    <s v="7192"/>
    <s v="Store Magleby Sogn"/>
    <s v="Store Magleby Kirkes Kapel"/>
    <s v="Kirke"/>
  </r>
  <r>
    <x v="0"/>
    <x v="6"/>
    <s v="7192"/>
    <s v="Store Magleby Sogn"/>
    <s v="Store Magleby Kirke"/>
    <s v="Kirke"/>
  </r>
  <r>
    <x v="0"/>
    <x v="6"/>
    <s v="7193"/>
    <s v="Dragør Sogn"/>
    <s v="Dragør kirkes kapel"/>
    <s v="Kirke"/>
  </r>
  <r>
    <x v="0"/>
    <x v="6"/>
    <s v="7193"/>
    <s v="Dragør Sogn"/>
    <s v="Dragør Kirke"/>
    <s v="Kirke"/>
  </r>
  <r>
    <x v="0"/>
    <x v="6"/>
    <s v="9081"/>
    <s v="Korsvejens Sogn"/>
    <s v="Korsvejskirken"/>
    <s v="Kirke"/>
  </r>
  <r>
    <x v="0"/>
    <x v="6"/>
    <s v="9140"/>
    <s v="Skelgårds Sogn"/>
    <s v="Skelgårdskirken"/>
    <s v="Kirke"/>
  </r>
  <r>
    <x v="0"/>
    <x v="7"/>
    <s v="7002"/>
    <s v="Helligånds Sogn"/>
    <s v="Helligåndskirken"/>
    <s v="Kirke"/>
  </r>
  <r>
    <x v="0"/>
    <x v="7"/>
    <s v="7002"/>
    <s v="Helligånds Sogn"/>
    <s v="Vartov Kirke"/>
    <s v="Kirke"/>
  </r>
  <r>
    <x v="0"/>
    <x v="7"/>
    <s v="7003"/>
    <s v="Trinitatis Sogn"/>
    <s v="Trinitatis Kirke"/>
    <s v="Kirke"/>
  </r>
  <r>
    <x v="0"/>
    <x v="7"/>
    <s v="9164"/>
    <s v="Fredens-Nazaret Sogn"/>
    <s v="Fredens Kirke"/>
    <s v="Kirke"/>
  </r>
  <r>
    <x v="0"/>
    <x v="7"/>
    <s v="9164"/>
    <s v="Fredens-Nazaret Sogn"/>
    <s v="Nazaret Kirke"/>
    <s v="Kirke"/>
  </r>
  <r>
    <x v="0"/>
    <x v="7"/>
    <s v="9165"/>
    <s v="Sydhavn Sogn"/>
    <s v="Kirkeskibet 2450"/>
    <s v="Kirke"/>
  </r>
  <r>
    <x v="0"/>
    <x v="7"/>
    <s v="9165"/>
    <s v="Sydhavn Sogn"/>
    <s v="Frederiksholm Kirke"/>
    <s v="Kirke"/>
  </r>
  <r>
    <x v="0"/>
    <x v="7"/>
    <s v="9174"/>
    <s v="Vor Frue Sogn"/>
    <s v="Vor Frue Kirke"/>
    <s v="Kirke"/>
  </r>
  <r>
    <x v="0"/>
    <x v="7"/>
    <s v="9174"/>
    <s v="Vor Frue Sogn"/>
    <s v="Kommunehospitalets Kirkesal"/>
    <s v="Kirkesal"/>
  </r>
  <r>
    <x v="0"/>
    <x v="7"/>
    <s v="9174"/>
    <s v="Vor Frue Sogn"/>
    <s v="Sankt Andreas Kirke"/>
    <s v="Kirke"/>
  </r>
  <r>
    <x v="0"/>
    <x v="7"/>
    <s v="9185"/>
    <s v="Vesterbro Sogn"/>
    <s v="Vestre Fængsel Kirke"/>
    <s v="Kirke"/>
  </r>
  <r>
    <x v="0"/>
    <x v="7"/>
    <s v="9185"/>
    <s v="Vesterbro Sogn"/>
    <s v="Vestre Kirkegårds Kapel, København"/>
    <s v="Kirke"/>
  </r>
  <r>
    <x v="0"/>
    <x v="7"/>
    <s v="9185"/>
    <s v="Vesterbro Sogn"/>
    <s v="Eliaskirken"/>
    <s v="Kirke"/>
  </r>
  <r>
    <x v="0"/>
    <x v="7"/>
    <s v="9185"/>
    <s v="Vesterbro Sogn"/>
    <s v="Mariakirken"/>
    <s v="Kirke"/>
  </r>
  <r>
    <x v="0"/>
    <x v="7"/>
    <s v="9185"/>
    <s v="Vesterbro Sogn"/>
    <s v="Gethsemane Kirke"/>
    <s v="Kirke"/>
  </r>
  <r>
    <x v="0"/>
    <x v="7"/>
    <s v="9185"/>
    <s v="Vesterbro Sogn"/>
    <s v="Apostelkirken"/>
    <s v="Kirke"/>
  </r>
  <r>
    <x v="0"/>
    <x v="7"/>
    <s v="9185"/>
    <s v="Vesterbro Sogn"/>
    <s v="Sankt Matthæus Kirke"/>
    <s v="Kirke"/>
  </r>
  <r>
    <x v="0"/>
    <x v="7"/>
    <s v="9185"/>
    <s v="Vesterbro Sogn"/>
    <s v="Kristkirken"/>
    <s v="Kirke"/>
  </r>
  <r>
    <x v="0"/>
    <x v="7"/>
    <s v="9185"/>
    <s v="Vesterbro Sogn"/>
    <s v="Enghave Kirke"/>
    <s v="Kirke"/>
  </r>
  <r>
    <x v="0"/>
    <x v="7"/>
    <s v="9346"/>
    <s v="Sankt Petri Tyske Menighed"/>
    <s v="Sankt Petri Tyske Kirke"/>
    <s v="Kirke"/>
  </r>
  <r>
    <x v="0"/>
    <x v="8"/>
    <s v="7036"/>
    <s v="Holmens Sogn"/>
    <s v="Christiansborg Slotskirke"/>
    <s v="Kirke"/>
  </r>
  <r>
    <x v="0"/>
    <x v="8"/>
    <s v="7036"/>
    <s v="Holmens Sogn"/>
    <s v="Sømandskirken"/>
    <s v="Filialkirke"/>
  </r>
  <r>
    <x v="0"/>
    <x v="8"/>
    <s v="7036"/>
    <s v="Holmens Sogn"/>
    <s v="Holmens Kirkegårds Kapel"/>
    <s v="Kirke"/>
  </r>
  <r>
    <x v="0"/>
    <x v="8"/>
    <s v="7036"/>
    <s v="Holmens Sogn"/>
    <s v="Holmens Kirke"/>
    <s v="Kirke"/>
  </r>
  <r>
    <x v="0"/>
    <x v="8"/>
    <s v="7037"/>
    <s v="Garnisons Sogn"/>
    <s v="Garnisonskirken"/>
    <s v="Kirke"/>
  </r>
  <r>
    <x v="0"/>
    <x v="8"/>
    <s v="7038"/>
    <s v="Frederiks Sogn"/>
    <s v="Frederiks Kirke"/>
    <s v="Kirke"/>
  </r>
  <r>
    <x v="0"/>
    <x v="8"/>
    <s v="7039"/>
    <s v="Sankt Pauls Sogn"/>
    <s v="Sankt Pauls Kirke"/>
    <s v="Kirke"/>
  </r>
  <r>
    <x v="0"/>
    <x v="8"/>
    <s v="7040"/>
    <s v="Østervold Sogn"/>
    <s v="Esajas Kirke"/>
    <s v="Kirke"/>
  </r>
  <r>
    <x v="0"/>
    <x v="8"/>
    <s v="7041"/>
    <s v="Kastels Sogn"/>
    <s v="Kastelskirken"/>
    <s v="Kirke"/>
  </r>
  <r>
    <x v="0"/>
    <x v="8"/>
    <s v="7041"/>
    <s v="Kastels Sogn"/>
    <s v="Garnisons Kirkegårds kapel"/>
    <s v="Kirke"/>
  </r>
  <r>
    <x v="0"/>
    <x v="8"/>
    <s v="7043"/>
    <s v="Rosenvængets Sogn"/>
    <s v="Lutherkirken"/>
    <s v="Kirke"/>
  </r>
  <r>
    <x v="0"/>
    <x v="8"/>
    <s v="7043"/>
    <s v="Rosenvængets Sogn"/>
    <s v="Frihavnskirken"/>
    <s v="Kirke"/>
  </r>
  <r>
    <x v="0"/>
    <x v="8"/>
    <s v="7044"/>
    <s v="Sankt Jakobs Sogn"/>
    <s v="Sankt Jakobs Kirke"/>
    <s v="Kirke"/>
  </r>
  <r>
    <x v="0"/>
    <x v="8"/>
    <s v="7046"/>
    <s v="Hans Egedes Sogn"/>
    <s v="Tiny Church - Tolvkanten"/>
    <s v="Kirke"/>
  </r>
  <r>
    <x v="0"/>
    <x v="8"/>
    <s v="7046"/>
    <s v="Hans Egedes Sogn"/>
    <s v="Hans Egedes Kirke"/>
    <s v="Kirke"/>
  </r>
  <r>
    <x v="0"/>
    <x v="8"/>
    <s v="7054"/>
    <s v="Aldersro Sogn"/>
    <s v="Taksigelseskirken"/>
    <s v="Kirke"/>
  </r>
  <r>
    <x v="0"/>
    <x v="8"/>
    <s v="7055"/>
    <s v="Kildevælds Sogn"/>
    <s v="Kildevældskirken"/>
    <s v="Kirke"/>
  </r>
  <r>
    <x v="0"/>
    <x v="8"/>
    <s v="7056"/>
    <s v="Sions Sogn"/>
    <s v="Sions Kirke"/>
    <s v="Kirke"/>
  </r>
  <r>
    <x v="0"/>
    <x v="8"/>
    <s v="7066"/>
    <s v="Lundehus Sogn"/>
    <s v="Lundehuskirken"/>
    <s v="Kirke"/>
  </r>
  <r>
    <x v="0"/>
    <x v="8"/>
    <s v="9175"/>
    <s v="Davids Sogn"/>
    <s v="Davidskirken"/>
    <s v="Kirke"/>
  </r>
  <r>
    <x v="1"/>
    <x v="9"/>
    <s v="7130"/>
    <s v="Gladsaxe Sogn"/>
    <s v="Gladsaxe Kirke"/>
    <s v="Kirke"/>
  </r>
  <r>
    <x v="1"/>
    <x v="9"/>
    <s v="7130"/>
    <s v="Gladsaxe Sogn"/>
    <s v="Gladsaxe Kirkegårdskapel"/>
    <s v="Kirke"/>
  </r>
  <r>
    <x v="1"/>
    <x v="9"/>
    <s v="7131"/>
    <s v="Søborggård Sogn"/>
    <s v="Søborg Kirke"/>
    <s v="Kirke"/>
  </r>
  <r>
    <x v="1"/>
    <x v="9"/>
    <s v="7132"/>
    <s v="Bagsværd Sogn"/>
    <s v="Bagsværd Kirke"/>
    <s v="Kirke"/>
  </r>
  <r>
    <x v="1"/>
    <x v="9"/>
    <s v="7133"/>
    <s v="Stengård Sogn"/>
    <s v="Stengård Kirke"/>
    <s v="Kirke"/>
  </r>
  <r>
    <x v="1"/>
    <x v="9"/>
    <s v="7134"/>
    <s v="Mørkhøj Sogn"/>
    <s v="Mørkhøj Kirke"/>
    <s v="Kirke"/>
  </r>
  <r>
    <x v="1"/>
    <x v="9"/>
    <s v="7135"/>
    <s v="Herlev Sogn"/>
    <s v="Herlev Kirke"/>
    <s v="Kirke"/>
  </r>
  <r>
    <x v="1"/>
    <x v="9"/>
    <s v="7136"/>
    <s v="Præstebro Sogn"/>
    <s v="Herlev Hospitals Kapel"/>
    <s v="Kirke"/>
  </r>
  <r>
    <x v="1"/>
    <x v="9"/>
    <s v="7136"/>
    <s v="Præstebro Sogn"/>
    <s v="Præstebro Kirke"/>
    <s v="Kirke"/>
  </r>
  <r>
    <x v="1"/>
    <x v="9"/>
    <s v="9068"/>
    <s v="Søborgmagle Sogn"/>
    <s v="Søborgmagle Kirke"/>
    <s v="Kirke"/>
  </r>
  <r>
    <x v="1"/>
    <x v="9"/>
    <s v="9071"/>
    <s v="Haralds Sogn"/>
    <s v="Haraldskirken"/>
    <s v="Kirke"/>
  </r>
  <r>
    <x v="1"/>
    <x v="9"/>
    <s v="9072"/>
    <s v="Buddinge Sogn"/>
    <s v="Buddinge Kirke"/>
    <s v="Kirke"/>
  </r>
  <r>
    <x v="1"/>
    <x v="9"/>
    <s v="9074"/>
    <s v="Lindehøj Sogn"/>
    <s v="Lindehøj Kirke"/>
    <s v="Kirke"/>
  </r>
  <r>
    <x v="1"/>
    <x v="9"/>
    <s v="9074"/>
    <s v="Lindehøj Sogn"/>
    <s v="Birkholm Kirkesal"/>
    <s v="Kirke"/>
  </r>
  <r>
    <x v="1"/>
    <x v="10"/>
    <s v="7110"/>
    <s v="Helleruplund Sogn"/>
    <s v="Helleruplund Kirke"/>
    <s v="Kirke"/>
  </r>
  <r>
    <x v="1"/>
    <x v="10"/>
    <s v="7110"/>
    <s v="Helleruplund Sogn"/>
    <s v="Sankt Lukas Stiftelsens Kirke"/>
    <s v="Kirke"/>
  </r>
  <r>
    <x v="1"/>
    <x v="10"/>
    <s v="7110"/>
    <s v="Helleruplund Sogn"/>
    <s v="Sankt Lukas Stiftelsens Kapel"/>
    <s v="Kirke"/>
  </r>
  <r>
    <x v="1"/>
    <x v="10"/>
    <s v="7111"/>
    <s v="Gentofte Sogn"/>
    <s v="Kapellet, Gentofte Hospital"/>
    <s v="Kirke"/>
  </r>
  <r>
    <x v="1"/>
    <x v="10"/>
    <s v="7111"/>
    <s v="Gentofte Sogn"/>
    <s v="Gentofte Kirke"/>
    <s v="Kirke"/>
  </r>
  <r>
    <x v="1"/>
    <x v="10"/>
    <s v="7112"/>
    <s v="Jægersborg Sogn"/>
    <s v="Jægersborg Kirke"/>
    <s v="Kirke"/>
  </r>
  <r>
    <x v="1"/>
    <x v="10"/>
    <s v="7113"/>
    <s v="Vangede Sogn"/>
    <s v="Vangede Kirke"/>
    <s v="Kirke"/>
  </r>
  <r>
    <x v="1"/>
    <x v="10"/>
    <s v="7113"/>
    <s v="Vangede Sogn"/>
    <s v="Mariebjerg Kapel"/>
    <s v="Kirke"/>
  </r>
  <r>
    <x v="1"/>
    <x v="10"/>
    <s v="7114"/>
    <s v="Dyssegård Sogn"/>
    <s v="Dyssegårdskirken"/>
    <s v="Kirke"/>
  </r>
  <r>
    <x v="1"/>
    <x v="10"/>
    <s v="7115"/>
    <s v="Ordrup Sogn"/>
    <s v="Ordrup Kirke"/>
    <s v="Kirke"/>
  </r>
  <r>
    <x v="1"/>
    <x v="10"/>
    <s v="7115"/>
    <s v="Ordrup Sogn"/>
    <s v="Ordrup kirkegårds kapel"/>
    <s v="Kirkesal"/>
  </r>
  <r>
    <x v="1"/>
    <x v="10"/>
    <s v="7116"/>
    <s v="Skovshoved Sogn"/>
    <s v="Skovshoved Kirke"/>
    <s v="Kirke"/>
  </r>
  <r>
    <x v="1"/>
    <x v="10"/>
    <s v="7117"/>
    <s v="Hellerup Sogn"/>
    <s v="Hellerup Kirke"/>
    <s v="Kirke"/>
  </r>
  <r>
    <x v="1"/>
    <x v="10"/>
    <s v="7118"/>
    <s v="Maglegårds Sogn"/>
    <s v="Messiaskirken"/>
    <s v="Kirke"/>
  </r>
  <r>
    <x v="1"/>
    <x v="11"/>
    <s v="7144"/>
    <s v="Brøndbyvester Sogn"/>
    <s v="Brøndbyvester Kirke"/>
    <s v="Kirke"/>
  </r>
  <r>
    <x v="1"/>
    <x v="11"/>
    <s v="7144"/>
    <s v="Brøndbyvester Sogn"/>
    <s v="Gilhøjhjemmet"/>
    <s v="Kirke"/>
  </r>
  <r>
    <x v="1"/>
    <x v="11"/>
    <s v="7145"/>
    <s v="Brøndbyøster Sogn"/>
    <s v="Annexgården, Brøndbyøster Kirke"/>
    <s v="Kirke"/>
  </r>
  <r>
    <x v="1"/>
    <x v="11"/>
    <s v="7145"/>
    <s v="Brøndbyøster Sogn"/>
    <s v="Brøndbyøster Kirke"/>
    <s v="Kirke"/>
  </r>
  <r>
    <x v="1"/>
    <x v="11"/>
    <s v="7147"/>
    <s v="Glostrup Sogn"/>
    <s v="Østervangkirken"/>
    <s v="Kirke"/>
  </r>
  <r>
    <x v="1"/>
    <x v="11"/>
    <s v="7147"/>
    <s v="Glostrup Sogn"/>
    <s v="Glostrup Krematoriums Kapel"/>
    <s v="Kirke"/>
  </r>
  <r>
    <x v="1"/>
    <x v="11"/>
    <s v="7147"/>
    <s v="Glostrup Sogn"/>
    <s v="Glostrup Hospitals Kapel"/>
    <s v="Kirke"/>
  </r>
  <r>
    <x v="1"/>
    <x v="11"/>
    <s v="7147"/>
    <s v="Glostrup Sogn"/>
    <s v="Glostrup Kirke"/>
    <s v="Kirke"/>
  </r>
  <r>
    <x v="1"/>
    <x v="11"/>
    <s v="7148"/>
    <s v="Herstedøster Sogn"/>
    <s v="Herstedøster Kirke"/>
    <s v="Kirke"/>
  </r>
  <r>
    <x v="1"/>
    <x v="11"/>
    <s v="7149"/>
    <s v="Vallensbæk Sogn"/>
    <s v="Helligtrekongers Kirke"/>
    <s v="Kirke"/>
  </r>
  <r>
    <x v="1"/>
    <x v="11"/>
    <s v="7149"/>
    <s v="Vallensbæk Sogn"/>
    <s v="Vallensbæk Kirke"/>
    <s v="Kirke"/>
  </r>
  <r>
    <x v="1"/>
    <x v="11"/>
    <s v="7155"/>
    <s v="Herstedvester Sogn"/>
    <s v="Herstedvester Kirke"/>
    <s v="Kirke"/>
  </r>
  <r>
    <x v="1"/>
    <x v="11"/>
    <s v="7155"/>
    <s v="Herstedvester Sogn"/>
    <s v="Birkelund Kirke"/>
    <s v="Fængselskirke"/>
  </r>
  <r>
    <x v="1"/>
    <x v="11"/>
    <s v="9084"/>
    <s v="Brøndby Strand Sogn"/>
    <s v="Brøndby Strand Kirke"/>
    <s v="Kirke"/>
  </r>
  <r>
    <x v="1"/>
    <x v="11"/>
    <s v="9115"/>
    <s v="Nygårds Sogn"/>
    <s v="Nygårdskirken"/>
    <s v="Kirke"/>
  </r>
  <r>
    <x v="1"/>
    <x v="11"/>
    <s v="9134"/>
    <s v="Opstandelseskirkens Sogn"/>
    <s v="Holsbjerg Kirke"/>
    <s v="Fængselskirke"/>
  </r>
  <r>
    <x v="1"/>
    <x v="11"/>
    <s v="9134"/>
    <s v="Opstandelseskirkens Sogn"/>
    <s v="Opstandelseskirken"/>
    <s v="Kirke"/>
  </r>
  <r>
    <x v="1"/>
    <x v="12"/>
    <s v="7437"/>
    <s v="Sankt Olai Sogn"/>
    <s v="Helsingør Kirkegårds Kapel"/>
    <s v="Kirke"/>
  </r>
  <r>
    <x v="1"/>
    <x v="12"/>
    <s v="7437"/>
    <s v="Sankt Olai Sogn"/>
    <s v="Helsingør Domkirke, Sankt Olai Kirke"/>
    <s v="Kirke"/>
  </r>
  <r>
    <x v="1"/>
    <x v="12"/>
    <s v="7438"/>
    <s v="Sankt Mariæ Sogn"/>
    <s v="Sankt Mariæ Kirke"/>
    <s v="Kirke"/>
  </r>
  <r>
    <x v="1"/>
    <x v="12"/>
    <s v="7438"/>
    <s v="Sankt Mariæ Sogn"/>
    <s v="Kronborg Slotskirke"/>
    <s v="Filialkirke"/>
  </r>
  <r>
    <x v="1"/>
    <x v="12"/>
    <s v="7439"/>
    <s v="Vestervang Sogn"/>
    <s v="Vestervang Kirke"/>
    <s v="Kirke"/>
  </r>
  <r>
    <x v="1"/>
    <x v="12"/>
    <s v="7440"/>
    <s v="Tikøb Sogn"/>
    <s v="Tikøb Kirke"/>
    <s v="Kirke"/>
  </r>
  <r>
    <x v="1"/>
    <x v="12"/>
    <s v="7441"/>
    <s v="Hornbæk Sogn"/>
    <s v="Hornbæk Kirke"/>
    <s v="Kirke"/>
  </r>
  <r>
    <x v="1"/>
    <x v="12"/>
    <s v="7442"/>
    <s v="Hellebæk Sogn"/>
    <s v="Hellebæk Kirke"/>
    <s v="Kirke"/>
  </r>
  <r>
    <x v="1"/>
    <x v="12"/>
    <s v="7443"/>
    <s v="Egebæksvang Sogn"/>
    <s v="Egebæksvang Kirke"/>
    <s v="Kirke"/>
  </r>
  <r>
    <x v="1"/>
    <x v="12"/>
    <s v="9098"/>
    <s v="Sthens Sogn"/>
    <s v="Sthens Kirke"/>
    <s v="Kirke"/>
  </r>
  <r>
    <x v="1"/>
    <x v="12"/>
    <s v="9103"/>
    <s v="Mørdrup Sogn"/>
    <s v="Mørdrup Kirke"/>
    <s v="Kirke"/>
  </r>
  <r>
    <x v="1"/>
    <x v="12"/>
    <s v="9240"/>
    <s v="Gurre Sogn"/>
    <s v="Gurre Kirke"/>
    <s v="Kirke"/>
  </r>
  <r>
    <x v="1"/>
    <x v="13"/>
    <s v="7446"/>
    <s v="Humlebæk Sogn"/>
    <s v="Torpen Kapel"/>
    <s v="Kirke"/>
  </r>
  <r>
    <x v="1"/>
    <x v="13"/>
    <s v="7446"/>
    <s v="Humlebæk Sogn"/>
    <s v="Humlebæk Kirke"/>
    <s v="Kirke"/>
  </r>
  <r>
    <x v="1"/>
    <x v="13"/>
    <s v="7451"/>
    <s v="Hørsholm Sogn"/>
    <s v="Hørsholm Kirke"/>
    <s v="Kirke"/>
  </r>
  <r>
    <x v="1"/>
    <x v="13"/>
    <s v="7451"/>
    <s v="Hørsholm Sogn"/>
    <s v="Hørsholm Kirkegårdskapel"/>
    <s v="Kirke"/>
  </r>
  <r>
    <x v="1"/>
    <x v="13"/>
    <s v="7452"/>
    <s v="Karlebo Sogn"/>
    <s v="Karlebo Kirke"/>
    <s v="Kirke"/>
  </r>
  <r>
    <x v="1"/>
    <x v="13"/>
    <s v="7452"/>
    <s v="Karlebo Sogn"/>
    <s v="Egedal Kirke"/>
    <s v="Filialkirke"/>
  </r>
  <r>
    <x v="1"/>
    <x v="13"/>
    <s v="7452"/>
    <s v="Karlebo Sogn"/>
    <s v="Nivå Kirke"/>
    <s v="Filialkirke"/>
  </r>
  <r>
    <x v="1"/>
    <x v="13"/>
    <s v="9080"/>
    <s v="Rungsted Sogn"/>
    <s v="Rungsted Kirke"/>
    <s v="Kirke"/>
  </r>
  <r>
    <x v="1"/>
    <x v="13"/>
    <s v="9145"/>
    <s v="Kokkedal Sogn"/>
    <s v="Kokkedal Kirke"/>
    <s v="Kirke"/>
  </r>
  <r>
    <x v="1"/>
    <x v="13"/>
    <s v="9334"/>
    <s v="Asminderød-Grønholt Sogn"/>
    <s v="Fredensborg Slotskirke"/>
    <s v="Filialkirke"/>
  </r>
  <r>
    <x v="1"/>
    <x v="13"/>
    <s v="9334"/>
    <s v="Asminderød-Grønholt Sogn"/>
    <s v="Grønholt Kirke"/>
    <s v="Kirke"/>
  </r>
  <r>
    <x v="1"/>
    <x v="13"/>
    <s v="9334"/>
    <s v="Asminderød-Grønholt Sogn"/>
    <s v="Asminderød Kirke"/>
    <s v="Kirke"/>
  </r>
  <r>
    <x v="1"/>
    <x v="13"/>
    <s v="9334"/>
    <s v="Asminderød-Grønholt Sogn"/>
    <s v="Asminderød Kirkes Kapel"/>
    <s v="Kirke"/>
  </r>
  <r>
    <x v="1"/>
    <x v="14"/>
    <s v="7185"/>
    <s v="Ledøje Sogn"/>
    <s v="Ledøje Kirke"/>
    <s v="Kirke"/>
  </r>
  <r>
    <x v="1"/>
    <x v="14"/>
    <s v="7186"/>
    <s v="Smørum Sogn"/>
    <s v="Smørum Kirke"/>
    <s v="Kirke"/>
  </r>
  <r>
    <x v="1"/>
    <x v="14"/>
    <s v="7409"/>
    <s v="Ølstykke Sogn"/>
    <s v="Udlejre Kirke"/>
    <s v="Filialkirke"/>
  </r>
  <r>
    <x v="1"/>
    <x v="14"/>
    <s v="7409"/>
    <s v="Ølstykke Sogn"/>
    <s v="Ølstykke Kirke"/>
    <s v="Kirke"/>
  </r>
  <r>
    <x v="1"/>
    <x v="14"/>
    <s v="7410"/>
    <s v="Stenløse Sogn"/>
    <s v="Stenløse Kirke"/>
    <s v="Kirke"/>
  </r>
  <r>
    <x v="1"/>
    <x v="14"/>
    <s v="7411"/>
    <s v="Veksø Sogn"/>
    <s v="Veksø Kirke"/>
    <s v="Kirke"/>
  </r>
  <r>
    <x v="1"/>
    <x v="14"/>
    <s v="7412"/>
    <s v="Slagslunde Sogn"/>
    <s v="Slagslunde Kirke"/>
    <s v="Kirke"/>
  </r>
  <r>
    <x v="1"/>
    <x v="14"/>
    <s v="7413"/>
    <s v="Ganløse Sogn"/>
    <s v="Ganløse Kirke"/>
    <s v="Kirke"/>
  </r>
  <r>
    <x v="1"/>
    <x v="14"/>
    <s v="7418"/>
    <s v="Frederikssund Sogn"/>
    <s v="Frederikssund Kirke"/>
    <s v="Kirke"/>
  </r>
  <r>
    <x v="1"/>
    <x v="14"/>
    <s v="7419"/>
    <s v="Oppe Sundby Sogn"/>
    <s v="Oppe Sundby Sognehus"/>
    <s v="Kirke"/>
  </r>
  <r>
    <x v="1"/>
    <x v="14"/>
    <s v="7419"/>
    <s v="Oppe Sundby Sogn"/>
    <s v="Oppe Sundby Kirke"/>
    <s v="Kirke"/>
  </r>
  <r>
    <x v="1"/>
    <x v="14"/>
    <s v="7420"/>
    <s v="Snostrup Sogn"/>
    <s v="Snostrup Kirke"/>
    <s v="Kirke"/>
  </r>
  <r>
    <x v="1"/>
    <x v="14"/>
    <s v="7421"/>
    <s v="Slangerup Sogn"/>
    <s v="Slangerup Kirke"/>
    <s v="Kirke"/>
  </r>
  <r>
    <x v="1"/>
    <x v="14"/>
    <s v="7423"/>
    <s v="Græse Sogn"/>
    <s v="Græse Kirke"/>
    <s v="Kirke"/>
  </r>
  <r>
    <x v="1"/>
    <x v="14"/>
    <s v="7424"/>
    <s v="Sigerslevvester Sogn"/>
    <s v="Sigerslevvester Kirke"/>
    <s v="Kirke"/>
  </r>
  <r>
    <x v="1"/>
    <x v="14"/>
    <s v="7427"/>
    <s v="Jørlunde Sogn"/>
    <s v="Jørlunde Kirke"/>
    <s v="Kirke"/>
  </r>
  <r>
    <x v="1"/>
    <x v="14"/>
    <s v="7453"/>
    <s v="Gerlev Sogn"/>
    <s v="Gerlev Kirke"/>
    <s v="Kirke"/>
  </r>
  <r>
    <x v="1"/>
    <x v="14"/>
    <s v="7454"/>
    <s v="Draaby Sogn"/>
    <s v="Draaby Kirke"/>
    <s v="Kirke"/>
  </r>
  <r>
    <x v="1"/>
    <x v="14"/>
    <s v="7455"/>
    <s v="Skibby Sogn"/>
    <s v="Skibby Kirke"/>
    <s v="Kirke"/>
  </r>
  <r>
    <x v="1"/>
    <x v="14"/>
    <s v="7456"/>
    <s v="Ferslev Sogn"/>
    <s v="Ferslev Kirke"/>
    <s v="Kirke"/>
  </r>
  <r>
    <x v="1"/>
    <x v="14"/>
    <s v="7457"/>
    <s v="Vellerup Sogn"/>
    <s v="Vellerup Kirke"/>
    <s v="Kirke"/>
  </r>
  <r>
    <x v="1"/>
    <x v="14"/>
    <s v="7458"/>
    <s v="Skuldelev Sogn"/>
    <s v="Skuldelev Kirke"/>
    <s v="Kirke"/>
  </r>
  <r>
    <x v="1"/>
    <x v="14"/>
    <s v="7459"/>
    <s v="Selsø Sogn"/>
    <s v="Selsø Kirke"/>
    <s v="Kirke"/>
  </r>
  <r>
    <x v="1"/>
    <x v="14"/>
    <s v="7460"/>
    <s v="Kyndby Sogn"/>
    <s v="Kyndby Kirke"/>
    <s v="Kirke"/>
  </r>
  <r>
    <x v="1"/>
    <x v="14"/>
    <s v="7461"/>
    <s v="Krogstrup Sogn"/>
    <s v="Krogstrup Kirke"/>
    <s v="Kirke"/>
  </r>
  <r>
    <x v="1"/>
    <x v="14"/>
    <s v="9113"/>
    <s v="Islebjerg Sogn"/>
    <s v="Islebjerg Kirke"/>
    <s v="Kirke"/>
  </r>
  <r>
    <x v="1"/>
    <x v="14"/>
    <s v="9113"/>
    <s v="Islebjerg Sogn"/>
    <s v="Frederikssund Hospitalskapel"/>
    <s v="Kirke"/>
  </r>
  <r>
    <x v="1"/>
    <x v="14"/>
    <s v="9242"/>
    <s v="Skoven Sogn"/>
    <s v="Skoven Kirke"/>
    <s v="Kirke"/>
  </r>
  <r>
    <x v="1"/>
    <x v="15"/>
    <s v="7392"/>
    <s v="Blistrup Sogn"/>
    <s v="Blistrup Kirke"/>
    <s v="Kirke"/>
  </r>
  <r>
    <x v="1"/>
    <x v="15"/>
    <s v="7392"/>
    <s v="Blistrup Sogn"/>
    <s v="Smidstrup Strandkirke"/>
    <s v="Filialkirke"/>
  </r>
  <r>
    <x v="1"/>
    <x v="15"/>
    <s v="7392"/>
    <s v="Blistrup Sogn"/>
    <s v="Kirkeladen i Blistrup"/>
    <s v="Kirke"/>
  </r>
  <r>
    <x v="1"/>
    <x v="15"/>
    <s v="7393"/>
    <s v="Vejby Sogn"/>
    <s v="Vejby Kirke"/>
    <s v="Kirke"/>
  </r>
  <r>
    <x v="1"/>
    <x v="15"/>
    <s v="7394"/>
    <s v="Tibirke Sogn"/>
    <s v="Tibirke Kirke"/>
    <s v="Kirke"/>
  </r>
  <r>
    <x v="1"/>
    <x v="15"/>
    <s v="7395"/>
    <s v="Ramløse Sogn"/>
    <s v="Ramløse Kirke"/>
    <s v="Kirke"/>
  </r>
  <r>
    <x v="1"/>
    <x v="15"/>
    <s v="7396"/>
    <s v="Annisse Sogn"/>
    <s v="Annisse Kirke"/>
    <s v="Kirke"/>
  </r>
  <r>
    <x v="1"/>
    <x v="15"/>
    <s v="7399"/>
    <s v="Kregme Sogn"/>
    <s v="Kregme Kirke"/>
    <s v="Kirke"/>
  </r>
  <r>
    <x v="1"/>
    <x v="15"/>
    <s v="7399"/>
    <s v="Kregme Sogn"/>
    <s v="Kregme Kapel"/>
    <s v="Kirke"/>
  </r>
  <r>
    <x v="1"/>
    <x v="15"/>
    <s v="7400"/>
    <s v="Ølsted Sogn"/>
    <s v="Ølsted Kirke"/>
    <s v="Kirke"/>
  </r>
  <r>
    <x v="1"/>
    <x v="15"/>
    <s v="7407"/>
    <s v="Melby Sogn"/>
    <s v="Melby Kirke"/>
    <s v="Kirke"/>
  </r>
  <r>
    <x v="1"/>
    <x v="15"/>
    <s v="7408"/>
    <s v="Torup Sogn"/>
    <s v="Torup Kirke"/>
    <s v="Kirke"/>
  </r>
  <r>
    <x v="1"/>
    <x v="15"/>
    <s v="7408"/>
    <s v="Torup Sogn"/>
    <s v="Lynæs Kirke"/>
    <s v="Filialkirke"/>
  </r>
  <r>
    <x v="1"/>
    <x v="15"/>
    <s v="7428"/>
    <s v="Esbønderup Sogn"/>
    <s v="Esbønderup Kirke"/>
    <s v="Kirke"/>
  </r>
  <r>
    <x v="1"/>
    <x v="15"/>
    <s v="7430"/>
    <s v="Søborg Sogn"/>
    <s v="Søborg Kirke"/>
    <s v="Kirke"/>
  </r>
  <r>
    <x v="1"/>
    <x v="15"/>
    <s v="7431"/>
    <s v="Gilleleje Sogn"/>
    <s v="Gilleleje Kirke"/>
    <s v="Kirke"/>
  </r>
  <r>
    <x v="1"/>
    <x v="15"/>
    <s v="7431"/>
    <s v="Gilleleje Sogn"/>
    <s v="Gilleleje Kirkes kapel"/>
    <s v="Kirke"/>
  </r>
  <r>
    <x v="1"/>
    <x v="15"/>
    <s v="7432"/>
    <s v="Græsted Sogn"/>
    <s v="Græsted Kirke"/>
    <s v="Kirke"/>
  </r>
  <r>
    <x v="1"/>
    <x v="15"/>
    <s v="7433"/>
    <s v="Mårum Sogn"/>
    <s v="Mårum Kirke"/>
    <s v="Kirke"/>
  </r>
  <r>
    <x v="1"/>
    <x v="15"/>
    <s v="7434"/>
    <s v="Helsinge Sogn"/>
    <s v="Helsinge Kirke"/>
    <s v="Kirke"/>
  </r>
  <r>
    <x v="1"/>
    <x v="15"/>
    <s v="7435"/>
    <s v="Valby Sogn"/>
    <s v="Valby Kirke"/>
    <s v="Kirke"/>
  </r>
  <r>
    <x v="1"/>
    <x v="15"/>
    <s v="9186"/>
    <s v="Frederiksværk-Vinderød Sogn"/>
    <s v="Frederiksværk Kirke"/>
    <s v="Kirke"/>
  </r>
  <r>
    <x v="1"/>
    <x v="15"/>
    <s v="9186"/>
    <s v="Frederiksværk-Vinderød Sogn"/>
    <s v="Vinderød Kirke"/>
    <s v="Kirke"/>
  </r>
  <r>
    <x v="1"/>
    <x v="15"/>
    <s v="9186"/>
    <s v="Frederiksværk-Vinderød Sogn"/>
    <s v="Vinderød Kapel"/>
    <s v="Kirke"/>
  </r>
  <r>
    <x v="1"/>
    <x v="15"/>
    <s v="9243"/>
    <s v="Villingerød Sogn"/>
    <s v="Villingerød Kirke"/>
    <s v="Kirke"/>
  </r>
  <r>
    <x v="1"/>
    <x v="16"/>
    <s v="7137"/>
    <s v="Rødovre Sogn"/>
    <s v="Rødovre Kirke"/>
    <s v="Kirke"/>
  </r>
  <r>
    <x v="1"/>
    <x v="16"/>
    <s v="7138"/>
    <s v="Grøndalslund Sogn"/>
    <s v="Grøndalslund Kirke"/>
    <s v="Kirke"/>
  </r>
  <r>
    <x v="1"/>
    <x v="16"/>
    <s v="7139"/>
    <s v="Islev Sogn"/>
    <s v="Islev Kirke"/>
    <s v="Kirke"/>
  </r>
  <r>
    <x v="1"/>
    <x v="16"/>
    <s v="7139"/>
    <s v="Islev Sogn"/>
    <s v="Ungdomsbyens Kirke"/>
    <s v="Kirkesal"/>
  </r>
  <r>
    <x v="1"/>
    <x v="16"/>
    <s v="7139"/>
    <s v="Islev Sogn"/>
    <s v="Plejehjemmet Broparkens Kirkesal"/>
    <s v="Kirkesal"/>
  </r>
  <r>
    <x v="1"/>
    <x v="16"/>
    <s v="7140"/>
    <s v="Hendriksholm Sogn"/>
    <s v="Hendriksholm Kirke"/>
    <s v="Kirke"/>
  </r>
  <r>
    <x v="1"/>
    <x v="16"/>
    <s v="7141"/>
    <s v="Hvidovre Sogn"/>
    <s v="Hvidovre Kirke"/>
    <s v="Kirke"/>
  </r>
  <r>
    <x v="1"/>
    <x v="16"/>
    <s v="7141"/>
    <s v="Hvidovre Sogn"/>
    <s v="Hvidovre Hospitals Kapel"/>
    <s v="Kirke"/>
  </r>
  <r>
    <x v="1"/>
    <x v="16"/>
    <s v="7141"/>
    <s v="Hvidovre Sogn"/>
    <s v="Maria Magdalene Kirken"/>
    <s v="Filialkirke"/>
  </r>
  <r>
    <x v="1"/>
    <x v="16"/>
    <s v="7142"/>
    <s v="Strandmarks Sogn"/>
    <s v="Svendebjerghaves kapel"/>
    <s v="Kirke"/>
  </r>
  <r>
    <x v="1"/>
    <x v="16"/>
    <s v="7142"/>
    <s v="Strandmarks Sogn"/>
    <s v="Strandmarkskirken"/>
    <s v="Kirke"/>
  </r>
  <r>
    <x v="1"/>
    <x v="16"/>
    <s v="7143"/>
    <s v="Risbjerg Sogn"/>
    <s v="Risbjerg Kirke"/>
    <s v="Kirke"/>
  </r>
  <r>
    <x v="1"/>
    <x v="16"/>
    <s v="7143"/>
    <s v="Risbjerg Sogn"/>
    <s v="Risbjerg Kapel"/>
    <s v="Kirke"/>
  </r>
  <r>
    <x v="1"/>
    <x v="16"/>
    <s v="7146"/>
    <s v="Avedøre Sogn"/>
    <s v="Avedøre Kirke"/>
    <s v="Kirke"/>
  </r>
  <r>
    <x v="1"/>
    <x v="17"/>
    <s v="7154"/>
    <s v="Værløse Sogn"/>
    <s v="Værløse Kirke"/>
    <s v="Kirke"/>
  </r>
  <r>
    <x v="1"/>
    <x v="17"/>
    <s v="7154"/>
    <s v="Værløse Sogn"/>
    <s v="Kirke Værløse Kirke"/>
    <s v="Filialkirke"/>
  </r>
  <r>
    <x v="1"/>
    <x v="17"/>
    <s v="7187"/>
    <s v="Ballerup Sogn"/>
    <s v="Ballerup Kirke"/>
    <s v="Kirke"/>
  </r>
  <r>
    <x v="1"/>
    <x v="17"/>
    <s v="7187"/>
    <s v="Ballerup Sogn"/>
    <s v="Skovvejskirken"/>
    <s v="Filialkirke"/>
  </r>
  <r>
    <x v="1"/>
    <x v="17"/>
    <s v="7187"/>
    <s v="Ballerup Sogn"/>
    <s v="Skovvejskirkens Kapel"/>
    <s v="Kirke"/>
  </r>
  <r>
    <x v="1"/>
    <x v="17"/>
    <s v="7188"/>
    <s v="Måløv Sogn"/>
    <s v="Måløv Kirke"/>
    <s v="Kirke"/>
  </r>
  <r>
    <x v="1"/>
    <x v="17"/>
    <s v="7189"/>
    <s v="Skovlunde Sogn"/>
    <s v="Skovlunde Kirke"/>
    <s v="Kirke"/>
  </r>
  <r>
    <x v="1"/>
    <x v="17"/>
    <s v="7414"/>
    <s v="Farum Sogn"/>
    <s v="Farum Kirke"/>
    <s v="Kirke"/>
  </r>
  <r>
    <x v="1"/>
    <x v="17"/>
    <s v="7414"/>
    <s v="Farum Sogn"/>
    <s v="Stavnsholtkirken"/>
    <s v="Filialkirke"/>
  </r>
  <r>
    <x v="1"/>
    <x v="17"/>
    <s v="7414"/>
    <s v="Farum Sogn"/>
    <s v="Farum Kirkegårds Kapel"/>
    <s v="Kirke"/>
  </r>
  <r>
    <x v="1"/>
    <x v="17"/>
    <s v="9089"/>
    <s v="Pederstrup Sogn"/>
    <s v="Vestkirken"/>
    <s v="Kirke"/>
  </r>
  <r>
    <x v="1"/>
    <x v="17"/>
    <s v="9089"/>
    <s v="Pederstrup Sogn"/>
    <s v="Hedegårdskirken"/>
    <s v="Filialkirke"/>
  </r>
  <r>
    <x v="1"/>
    <x v="17"/>
    <s v="9239"/>
    <s v="Hareskov Sogn"/>
    <s v="Hareskov Kirke"/>
    <s v="Kirke"/>
  </r>
  <r>
    <x v="1"/>
    <x v="18"/>
    <s v="7119"/>
    <s v="Kongens Lyngby Sogn"/>
    <s v="Lyngby Kirke"/>
    <s v="Kirke"/>
  </r>
  <r>
    <x v="1"/>
    <x v="18"/>
    <s v="7119"/>
    <s v="Kongens Lyngby Sogn"/>
    <s v="Sorgenfri Kirkegårds Kapel"/>
    <s v="Kirke"/>
  </r>
  <r>
    <x v="1"/>
    <x v="18"/>
    <s v="7120"/>
    <s v="Christians Sogn"/>
    <s v="Christianskirken"/>
    <s v="Kirke"/>
  </r>
  <r>
    <x v="1"/>
    <x v="18"/>
    <s v="7121"/>
    <s v="Virum Sogn"/>
    <s v="Virum Kirke"/>
    <s v="Kirke"/>
  </r>
  <r>
    <x v="1"/>
    <x v="18"/>
    <s v="7122"/>
    <s v="Sorgenfri Sogn"/>
    <s v="Sorgenfri Kirke"/>
    <s v="Kirke"/>
  </r>
  <r>
    <x v="1"/>
    <x v="18"/>
    <s v="7123"/>
    <s v="Lundtofte Sogn"/>
    <s v="Lundtofte Kirke"/>
    <s v="Kirke"/>
  </r>
  <r>
    <x v="1"/>
    <x v="18"/>
    <s v="7123"/>
    <s v="Lundtofte Sogn"/>
    <s v="Lyngby Parkkirkegårds Store Kapel"/>
    <s v="Kirke"/>
  </r>
  <r>
    <x v="1"/>
    <x v="18"/>
    <s v="7123"/>
    <s v="Lundtofte Sogn"/>
    <s v="Geels Kirkesal"/>
    <s v="Kirke"/>
  </r>
  <r>
    <x v="1"/>
    <x v="18"/>
    <s v="7123"/>
    <s v="Lundtofte Sogn"/>
    <s v="Lyngby Parkkirkegårds Lille Kapel"/>
    <s v="Kirke"/>
  </r>
  <r>
    <x v="1"/>
    <x v="18"/>
    <s v="7124"/>
    <s v="Taarbæk Sogn"/>
    <s v="Taarbæk Kirke"/>
    <s v="Kirke"/>
  </r>
  <r>
    <x v="1"/>
    <x v="19"/>
    <s v="7401"/>
    <s v="Tjæreby Sogn"/>
    <s v="Tjæreby Kirke"/>
    <s v="Kirke"/>
  </r>
  <r>
    <x v="1"/>
    <x v="19"/>
    <s v="7402"/>
    <s v="Alsønderup Sogn"/>
    <s v="Alsønderup Kirke"/>
    <s v="Kirke"/>
  </r>
  <r>
    <x v="1"/>
    <x v="19"/>
    <s v="7403"/>
    <s v="Skævinge Sogn"/>
    <s v="Skævinge Kirke"/>
    <s v="Kirke"/>
  </r>
  <r>
    <x v="1"/>
    <x v="19"/>
    <s v="7404"/>
    <s v="Lille Lyngby Sogn"/>
    <s v="Lille Lyngby Kirke"/>
    <s v="Kirke"/>
  </r>
  <r>
    <x v="1"/>
    <x v="19"/>
    <s v="7405"/>
    <s v="Strø Sogn"/>
    <s v="Strø Kirke"/>
    <s v="Kirke"/>
  </r>
  <r>
    <x v="1"/>
    <x v="19"/>
    <s v="7406"/>
    <s v="Gørløse Sogn"/>
    <s v="Gørløse Kirke"/>
    <s v="Kirke"/>
  </r>
  <r>
    <x v="1"/>
    <x v="19"/>
    <s v="7415"/>
    <s v="Hillerød Sogn"/>
    <s v="Hillerød Kirke"/>
    <s v="Kirke"/>
  </r>
  <r>
    <x v="1"/>
    <x v="19"/>
    <s v="7415"/>
    <s v="Hillerød Sogn"/>
    <s v="Kapel"/>
    <s v="Kirke"/>
  </r>
  <r>
    <x v="1"/>
    <x v="19"/>
    <s v="7416"/>
    <s v="Nørre Herlev Sogn"/>
    <s v="Nørre Herlev Kirke"/>
    <s v="Kirke"/>
  </r>
  <r>
    <x v="1"/>
    <x v="19"/>
    <s v="7417"/>
    <s v="Præstevang Sogn"/>
    <s v="Præstevang Kirke"/>
    <s v="Kirke"/>
  </r>
  <r>
    <x v="1"/>
    <x v="19"/>
    <s v="7417"/>
    <s v="Præstevang Sogn"/>
    <s v="Skansekirkegårdens Kapel"/>
    <s v="Kirke"/>
  </r>
  <r>
    <x v="1"/>
    <x v="19"/>
    <s v="7417"/>
    <s v="Præstevang Sogn"/>
    <s v="Kapellet, Nordsjællands Hospital - Hillerød"/>
    <s v="Kirke"/>
  </r>
  <r>
    <x v="1"/>
    <x v="19"/>
    <s v="7417"/>
    <s v="Præstevang Sogn"/>
    <s v="Sygehuskapellet"/>
    <s v="Kirke"/>
  </r>
  <r>
    <x v="1"/>
    <x v="19"/>
    <s v="7422"/>
    <s v="Uvelse Sogn"/>
    <s v="Uvelse Kirke"/>
    <s v="Kirke"/>
  </r>
  <r>
    <x v="1"/>
    <x v="19"/>
    <s v="7425"/>
    <s v="Lynge Sogn"/>
    <s v="Lynge Kirke"/>
    <s v="Kirke"/>
  </r>
  <r>
    <x v="1"/>
    <x v="19"/>
    <s v="7426"/>
    <s v="Uggeløse Sogn"/>
    <s v="Uggeløse Kirke"/>
    <s v="Kirke"/>
  </r>
  <r>
    <x v="1"/>
    <x v="19"/>
    <s v="7429"/>
    <s v="Nødebo Sogn"/>
    <s v="Nødebo Kirke"/>
    <s v="Kirke"/>
  </r>
  <r>
    <x v="1"/>
    <x v="19"/>
    <s v="7436"/>
    <s v="Frederiksborg Slotssogn"/>
    <s v="Frederiksborg Slotskirke"/>
    <s v="Kirke"/>
  </r>
  <r>
    <x v="1"/>
    <x v="19"/>
    <s v="7436"/>
    <s v="Frederiksborg Slotssogn"/>
    <s v="Nyhuse Kapel"/>
    <s v="Kirke"/>
  </r>
  <r>
    <x v="1"/>
    <x v="19"/>
    <s v="7449"/>
    <s v="Blovstrød Sogn"/>
    <s v="Blovstrød Kirke"/>
    <s v="Kirke"/>
  </r>
  <r>
    <x v="1"/>
    <x v="19"/>
    <s v="7450"/>
    <s v="Lillerød Sogn"/>
    <s v="Lillerød Kirke"/>
    <s v="Kirke"/>
  </r>
  <r>
    <x v="1"/>
    <x v="19"/>
    <s v="7467"/>
    <s v="Ullerød Sogn"/>
    <s v="Ullerød Kirke"/>
    <s v="Kirke"/>
  </r>
  <r>
    <x v="1"/>
    <x v="19"/>
    <s v="9154"/>
    <s v="Grønnevang Sogn"/>
    <s v="Grønnevang Kirke"/>
    <s v="Kirke"/>
  </r>
  <r>
    <x v="1"/>
    <x v="19"/>
    <s v="9155"/>
    <s v="Engholm Sogn"/>
    <s v="Engholmkirken"/>
    <s v="Kirke"/>
  </r>
  <r>
    <x v="1"/>
    <x v="19"/>
    <s v="9241"/>
    <s v="Gadevang Sogn"/>
    <s v="Gadevang Kirke"/>
    <s v="Kirke"/>
  </r>
  <r>
    <x v="1"/>
    <x v="20"/>
    <s v="7150"/>
    <s v="Torslunde Sogn"/>
    <s v="Torslunde Kirke"/>
    <s v="Kirke"/>
  </r>
  <r>
    <x v="1"/>
    <x v="20"/>
    <s v="7151"/>
    <s v="Ishøj Sogn"/>
    <s v="Ishøj Kirke"/>
    <s v="Kirke"/>
  </r>
  <r>
    <x v="1"/>
    <x v="20"/>
    <s v="7151"/>
    <s v="Ishøj Sogn"/>
    <s v="Vejleå Kirke"/>
    <s v="Filialkirke"/>
  </r>
  <r>
    <x v="1"/>
    <x v="20"/>
    <s v="7152"/>
    <s v="Høje Taastrup Sogn"/>
    <s v="Høje Taastrup Kirke"/>
    <s v="Kirke"/>
  </r>
  <r>
    <x v="1"/>
    <x v="20"/>
    <s v="7153"/>
    <s v="Taastrup Nykirke Sogn"/>
    <s v="Taastrup Nykirke"/>
    <s v="Kirke"/>
  </r>
  <r>
    <x v="1"/>
    <x v="20"/>
    <s v="7162"/>
    <s v="Fløng Sogn"/>
    <s v="Sognets Hus ved Fløng kirke"/>
    <s v="Kirke"/>
  </r>
  <r>
    <x v="1"/>
    <x v="20"/>
    <s v="7162"/>
    <s v="Fløng Sogn"/>
    <s v="Fløng Kirke"/>
    <s v="Kirke"/>
  </r>
  <r>
    <x v="1"/>
    <x v="20"/>
    <s v="7184"/>
    <s v="Sengeløse Sogn"/>
    <s v="Sengeløse Kirke"/>
    <s v="Kirke"/>
  </r>
  <r>
    <x v="1"/>
    <x v="20"/>
    <s v="7196"/>
    <s v="Reerslev Sogn"/>
    <s v="Reerslev Kirke"/>
    <s v="Kirke"/>
  </r>
  <r>
    <x v="1"/>
    <x v="20"/>
    <s v="9083"/>
    <s v="Hedehusene Sogn"/>
    <s v="Ansgarkirken"/>
    <s v="Kirke"/>
  </r>
  <r>
    <x v="1"/>
    <x v="20"/>
    <s v="9094"/>
    <s v="Rønnevang Sogn"/>
    <s v="Rønnevang Kirke"/>
    <s v="Kirke"/>
  </r>
  <r>
    <x v="1"/>
    <x v="21"/>
    <s v="7125"/>
    <s v="Søllerød Sogn"/>
    <s v="Søllerød Kirke"/>
    <s v="Kirke"/>
  </r>
  <r>
    <x v="1"/>
    <x v="21"/>
    <s v="7126"/>
    <s v="Vedbæk Sogn"/>
    <s v="Vedbæk Kirkegårds Kapel"/>
    <s v="Kirke"/>
  </r>
  <r>
    <x v="1"/>
    <x v="21"/>
    <s v="7126"/>
    <s v="Vedbæk Sogn"/>
    <s v="Vedbæk Kirke"/>
    <s v="Kirke"/>
  </r>
  <r>
    <x v="1"/>
    <x v="21"/>
    <s v="7127"/>
    <s v="Ny Holte Sogn"/>
    <s v="Holte Kirke"/>
    <s v="Kirke"/>
  </r>
  <r>
    <x v="1"/>
    <x v="21"/>
    <s v="7128"/>
    <s v="Gammel Holte Sogn"/>
    <s v="Gammel Holte Kirke"/>
    <s v="Kirke"/>
  </r>
  <r>
    <x v="1"/>
    <x v="21"/>
    <s v="7129"/>
    <s v="Nærum Sogn"/>
    <s v="Hegnsgården kapel"/>
    <s v="Kirke"/>
  </r>
  <r>
    <x v="1"/>
    <x v="21"/>
    <s v="7129"/>
    <s v="Nærum Sogn"/>
    <s v="Nærum Kirke"/>
    <s v="Kirke"/>
  </r>
  <r>
    <x v="1"/>
    <x v="21"/>
    <s v="7448"/>
    <s v="Bistrup Sogn"/>
    <s v="Bistrup Kirke"/>
    <s v="Kirke"/>
  </r>
  <r>
    <x v="1"/>
    <x v="21"/>
    <s v="7448"/>
    <s v="Bistrup Sogn"/>
    <s v="Assistens Søholm kirkegård, kapel"/>
    <s v="Kirke"/>
  </r>
  <r>
    <x v="1"/>
    <x v="21"/>
    <s v="9310"/>
    <s v="Høsterkøb Sogn"/>
    <s v="Høsterkøb Kirke"/>
    <s v="Kirke"/>
  </r>
  <r>
    <x v="1"/>
    <x v="21"/>
    <s v="9311"/>
    <s v="Birkerød Sogn"/>
    <s v="Birkerød Kirke"/>
    <s v="Kirke"/>
  </r>
  <r>
    <x v="2"/>
    <x v="22"/>
    <s v="7156"/>
    <s v="Roskilde Domsogn"/>
    <s v="Roskilde Domkirke"/>
    <s v="Kirke"/>
  </r>
  <r>
    <x v="2"/>
    <x v="22"/>
    <s v="7156"/>
    <s v="Roskilde Domsogn"/>
    <s v="Østre Kirkegårdskapel"/>
    <s v="Kirke"/>
  </r>
  <r>
    <x v="2"/>
    <x v="22"/>
    <s v="7156"/>
    <s v="Roskilde Domsogn"/>
    <s v="Vor Frue Kirke"/>
    <s v="Filialkirke"/>
  </r>
  <r>
    <x v="2"/>
    <x v="22"/>
    <s v="7157"/>
    <s v="Roskilde Søndre Sogn"/>
    <s v="Kapellet, Sjællands Universitetshospital, Roskilde"/>
    <s v="Kirke"/>
  </r>
  <r>
    <x v="2"/>
    <x v="22"/>
    <s v="7157"/>
    <s v="Roskilde Søndre Sogn"/>
    <s v="Jakobskirken"/>
    <s v="Kirke"/>
  </r>
  <r>
    <x v="2"/>
    <x v="22"/>
    <s v="7158"/>
    <s v="Vor Frue Sogn"/>
    <s v="Vor Frue Kirke"/>
    <s v="Kirke"/>
  </r>
  <r>
    <x v="2"/>
    <x v="22"/>
    <s v="7159"/>
    <s v="Sankt Jørgensbjerg Sogn"/>
    <s v="Sankt Hans Hospitalskirke"/>
    <s v="Kirke"/>
  </r>
  <r>
    <x v="2"/>
    <x v="22"/>
    <s v="7159"/>
    <s v="Sankt Jørgensbjerg Sogn"/>
    <s v="Sankt Hans Kapel, Roskilde"/>
    <s v="Kirke"/>
  </r>
  <r>
    <x v="2"/>
    <x v="22"/>
    <s v="7159"/>
    <s v="Sankt Jørgensbjerg Sogn"/>
    <s v="Sankt Jørgensbjerg Kirke"/>
    <s v="Kirke"/>
  </r>
  <r>
    <x v="2"/>
    <x v="22"/>
    <s v="7159"/>
    <s v="Sankt Jørgensbjerg Sogn"/>
    <s v="Sankt Jørgensbjerg Kapel"/>
    <s v="Kirkesal"/>
  </r>
  <r>
    <x v="2"/>
    <x v="22"/>
    <s v="7160"/>
    <s v="Himmelev Sogn"/>
    <s v="Himmelev Kirke"/>
    <s v="Kirke"/>
  </r>
  <r>
    <x v="2"/>
    <x v="22"/>
    <s v="7160"/>
    <s v="Himmelev Sogn"/>
    <s v="Trekroner Kirke"/>
    <s v="Kirke"/>
  </r>
  <r>
    <x v="2"/>
    <x v="22"/>
    <s v="7160"/>
    <s v="Himmelev Sogn"/>
    <s v="Roskilde Kloster Kirke"/>
    <s v="Filialkirke"/>
  </r>
  <r>
    <x v="2"/>
    <x v="22"/>
    <s v="7161"/>
    <s v="Hvedstrup Sogn"/>
    <s v="Hvedstrup Kirke"/>
    <s v="Kirke"/>
  </r>
  <r>
    <x v="2"/>
    <x v="22"/>
    <s v="7166"/>
    <s v="Svogerslev Sogn"/>
    <s v="Svogerslev Kirke"/>
    <s v="Kirke"/>
  </r>
  <r>
    <x v="2"/>
    <x v="22"/>
    <s v="7167"/>
    <s v="Ågerup Sogn"/>
    <s v="Ågerup Kirke"/>
    <s v="Kirke"/>
  </r>
  <r>
    <x v="2"/>
    <x v="22"/>
    <s v="7168"/>
    <s v="Kirkerup Sogn"/>
    <s v="Kirkerup Kirke"/>
    <s v="Kirke"/>
  </r>
  <r>
    <x v="2"/>
    <x v="22"/>
    <s v="7169"/>
    <s v="Jyllinge Sogn"/>
    <s v="Hellig Kors Kirke"/>
    <s v="Kirke"/>
  </r>
  <r>
    <x v="2"/>
    <x v="22"/>
    <s v="7169"/>
    <s v="Jyllinge Sogn"/>
    <s v="Jyllinge Kirke"/>
    <s v="Kirke"/>
  </r>
  <r>
    <x v="2"/>
    <x v="22"/>
    <s v="7170"/>
    <s v="Gundsømagle Sogn"/>
    <s v="Gundsømagle Kirke"/>
    <s v="Kirke"/>
  </r>
  <r>
    <x v="2"/>
    <x v="22"/>
    <s v="7197"/>
    <s v="Vindinge Sogn"/>
    <s v="Vindinge Kirke"/>
    <s v="Kirke"/>
  </r>
  <r>
    <x v="2"/>
    <x v="22"/>
    <s v="7198"/>
    <s v="Snoldelev Sogn"/>
    <s v="Snoldelev Kirke"/>
    <s v="Kirke"/>
  </r>
  <r>
    <x v="2"/>
    <x v="22"/>
    <s v="7210"/>
    <s v="Gadstrup Sogn"/>
    <s v="Gadstrup Kirke"/>
    <s v="Kirke"/>
  </r>
  <r>
    <x v="2"/>
    <x v="22"/>
    <s v="7211"/>
    <s v="Syv Sogn"/>
    <s v="Syv Kirke"/>
    <s v="Kirke"/>
  </r>
  <r>
    <x v="2"/>
    <x v="22"/>
    <s v="7212"/>
    <s v="Ørsted Sogn"/>
    <s v="Ørsted Kirke"/>
    <s v="Kirke"/>
  </r>
  <r>
    <x v="2"/>
    <x v="22"/>
    <s v="7213"/>
    <s v="Dåstrup Sogn"/>
    <s v="Dåstrup Kirke"/>
    <s v="Kirke"/>
  </r>
  <r>
    <x v="2"/>
    <x v="23"/>
    <s v="7163"/>
    <s v="Herslev Sogn"/>
    <s v="Herslev Kirke"/>
    <s v="Kirke"/>
  </r>
  <r>
    <x v="2"/>
    <x v="23"/>
    <s v="7164"/>
    <s v="Gevninge Sogn"/>
    <s v="Gevninge Kirke"/>
    <s v="Kirke"/>
  </r>
  <r>
    <x v="2"/>
    <x v="23"/>
    <s v="7165"/>
    <s v="Kornerup Sogn"/>
    <s v="Kornerup Kirke"/>
    <s v="Kirke"/>
  </r>
  <r>
    <x v="2"/>
    <x v="23"/>
    <s v="7171"/>
    <s v="Osted Sogn"/>
    <s v="Osted Kirke"/>
    <s v="Kirke"/>
  </r>
  <r>
    <x v="2"/>
    <x v="23"/>
    <s v="7172"/>
    <s v="Allerslev Sogn"/>
    <s v="Allerslev Kirke"/>
    <s v="Kirke"/>
  </r>
  <r>
    <x v="2"/>
    <x v="23"/>
    <s v="7172"/>
    <s v="Allerslev Sogn"/>
    <s v="Plejecentret Bøgebakken"/>
    <s v="Kirke"/>
  </r>
  <r>
    <x v="2"/>
    <x v="23"/>
    <s v="7173"/>
    <s v="Kirke Hvalsø Sogn"/>
    <s v="Hvalsø Kirke"/>
    <s v="Kirke"/>
  </r>
  <r>
    <x v="2"/>
    <x v="23"/>
    <s v="7174"/>
    <s v="Særløse Sogn"/>
    <s v="Særløse Kirke"/>
    <s v="Kirke"/>
  </r>
  <r>
    <x v="2"/>
    <x v="23"/>
    <s v="7175"/>
    <s v="Kirke Saaby Sogn"/>
    <s v="Kirke Saaby Kirke"/>
    <s v="Kirke"/>
  </r>
  <r>
    <x v="2"/>
    <x v="23"/>
    <s v="7176"/>
    <s v="Kisserup Sogn"/>
    <s v="Kisserup Kirke"/>
    <s v="Kirke"/>
  </r>
  <r>
    <x v="2"/>
    <x v="23"/>
    <s v="7177"/>
    <s v="Rye Sogn"/>
    <s v="Rye Kirke"/>
    <s v="Kirke"/>
  </r>
  <r>
    <x v="2"/>
    <x v="23"/>
    <s v="7178"/>
    <s v="Kirke Sonnerup Sogn"/>
    <s v="Sonnerup Kirke"/>
    <s v="Kirke"/>
  </r>
  <r>
    <x v="2"/>
    <x v="23"/>
    <s v="7179"/>
    <s v="Kirke Hyllinge Sogn"/>
    <s v="Kirke Hyllinge Kirke"/>
    <s v="Kirke"/>
  </r>
  <r>
    <x v="2"/>
    <x v="23"/>
    <s v="7180"/>
    <s v="Lyndby Sogn"/>
    <s v="Lyndby Kirke"/>
    <s v="Kirke"/>
  </r>
  <r>
    <x v="2"/>
    <x v="23"/>
    <s v="7181"/>
    <s v="Sæby Sogn"/>
    <s v="Sæby Kirke"/>
    <s v="Kirke"/>
  </r>
  <r>
    <x v="2"/>
    <x v="23"/>
    <s v="7182"/>
    <s v="Gershøj Sogn"/>
    <s v="Gershøj Kirke"/>
    <s v="Kirke"/>
  </r>
  <r>
    <x v="2"/>
    <x v="23"/>
    <s v="7208"/>
    <s v="Rorup Sogn"/>
    <s v="Rorup Kirke"/>
    <s v="Kirke"/>
  </r>
  <r>
    <x v="2"/>
    <x v="23"/>
    <s v="7209"/>
    <s v="Glim Sogn"/>
    <s v="Glim Kirke"/>
    <s v="Kirke"/>
  </r>
  <r>
    <x v="2"/>
    <x v="24"/>
    <s v="7206"/>
    <s v="Køge Sogn"/>
    <s v="Køge Kapel"/>
    <s v="Kirke"/>
  </r>
  <r>
    <x v="2"/>
    <x v="24"/>
    <s v="7206"/>
    <s v="Køge Sogn"/>
    <s v="Sankt Nicolai Kirke"/>
    <s v="Kirke"/>
  </r>
  <r>
    <x v="2"/>
    <x v="24"/>
    <s v="7207"/>
    <s v="Ølsemagle Sogn"/>
    <s v="Ølsemagle Kirke"/>
    <s v="Kirke"/>
  </r>
  <r>
    <x v="2"/>
    <x v="24"/>
    <s v="7214"/>
    <s v="Borup Sogn"/>
    <s v="Borup Kirke"/>
    <s v="Kirke"/>
  </r>
  <r>
    <x v="2"/>
    <x v="24"/>
    <s v="7215"/>
    <s v="Kimmerslev Sogn"/>
    <s v="Kimmerslev Kirke"/>
    <s v="Kirke"/>
  </r>
  <r>
    <x v="2"/>
    <x v="24"/>
    <s v="7216"/>
    <s v="Ejby Sogn"/>
    <s v="Ejby Kirke"/>
    <s v="Kirke"/>
  </r>
  <r>
    <x v="2"/>
    <x v="24"/>
    <s v="7217"/>
    <s v="Nørre Dalby Sogn"/>
    <s v="Nørre Dalby Kirke"/>
    <s v="Kirke"/>
  </r>
  <r>
    <x v="2"/>
    <x v="24"/>
    <s v="7218"/>
    <s v="Højelse-Ølby Sogn"/>
    <s v="Højelse Kirke"/>
    <s v="Kirke"/>
  </r>
  <r>
    <x v="2"/>
    <x v="24"/>
    <s v="7218"/>
    <s v="Højelse-Ølby Sogn"/>
    <s v="Ølby Kirke"/>
    <s v="Filialkirke"/>
  </r>
  <r>
    <x v="2"/>
    <x v="24"/>
    <s v="7218"/>
    <s v="Højelse-Ølby Sogn"/>
    <s v="Kapellet, Sjællands Universitetshospital, Køge"/>
    <s v="Kirke"/>
  </r>
  <r>
    <x v="2"/>
    <x v="24"/>
    <s v="7492"/>
    <s v="Lellinge Sogn"/>
    <s v="Lellinge Kirke"/>
    <s v="Kirke"/>
  </r>
  <r>
    <x v="2"/>
    <x v="24"/>
    <s v="7536"/>
    <s v="Lidemark Sogn"/>
    <s v="Lidemark Kirke"/>
    <s v="Kirke"/>
  </r>
  <r>
    <x v="2"/>
    <x v="24"/>
    <s v="7537"/>
    <s v="Bjæverskov Sogn"/>
    <s v="Bjæverskov Kirke"/>
    <s v="Kirke"/>
  </r>
  <r>
    <x v="2"/>
    <x v="24"/>
    <s v="7538"/>
    <s v="Vollerslev Sogn"/>
    <s v="Vollerslev Kirke"/>
    <s v="Kirke"/>
  </r>
  <r>
    <x v="2"/>
    <x v="24"/>
    <s v="7539"/>
    <s v="Gørslev Sogn"/>
    <s v="Gørslev Kirke"/>
    <s v="Kirke"/>
  </r>
  <r>
    <x v="2"/>
    <x v="24"/>
    <s v="7540"/>
    <s v="Herfølge Sogn"/>
    <s v="Herfølge Kirke"/>
    <s v="Kirke"/>
  </r>
  <r>
    <x v="2"/>
    <x v="24"/>
    <s v="7541"/>
    <s v="Sædder Sogn"/>
    <s v="Ingelstrup kapel"/>
    <s v="Filialkirke"/>
  </r>
  <r>
    <x v="2"/>
    <x v="24"/>
    <s v="7541"/>
    <s v="Sædder Sogn"/>
    <s v="Sædder Kirke"/>
    <s v="Kirke"/>
  </r>
  <r>
    <x v="2"/>
    <x v="24"/>
    <s v="9117"/>
    <s v="Boholte Sogn"/>
    <s v="Boholte Kirke"/>
    <s v="Kirke"/>
  </r>
  <r>
    <x v="2"/>
    <x v="25"/>
    <s v="7219"/>
    <s v="Ubby Sogn"/>
    <s v="Ubby Kirke"/>
    <s v="Kirke"/>
  </r>
  <r>
    <x v="2"/>
    <x v="25"/>
    <s v="7220"/>
    <s v="Svallerup Sogn"/>
    <s v="Svallerup Kirke"/>
    <s v="Kirke"/>
  </r>
  <r>
    <x v="2"/>
    <x v="25"/>
    <s v="7221"/>
    <s v="Store Fuglede Sogn"/>
    <s v="Store Fuglede Kirke"/>
    <s v="Kirke"/>
  </r>
  <r>
    <x v="2"/>
    <x v="25"/>
    <s v="7222"/>
    <s v="Lille Fuglede Sogn"/>
    <s v="Lille Fuglede Kirke"/>
    <s v="Kirke"/>
  </r>
  <r>
    <x v="2"/>
    <x v="25"/>
    <s v="7223"/>
    <s v="Sæby Sogn"/>
    <s v="Sæby Kirke"/>
    <s v="Kirke"/>
  </r>
  <r>
    <x v="2"/>
    <x v="25"/>
    <s v="7224"/>
    <s v="Hallenslev Sogn"/>
    <s v="Hallenslev Kirke"/>
    <s v="Kirke"/>
  </r>
  <r>
    <x v="2"/>
    <x v="25"/>
    <s v="7225"/>
    <s v="Buerup Sogn"/>
    <s v="Buerup Kirke"/>
    <s v="Kirke"/>
  </r>
  <r>
    <x v="2"/>
    <x v="25"/>
    <s v="7226"/>
    <s v="Reerslev Sogn"/>
    <s v="Reerslev Kirke"/>
    <s v="Kirke"/>
  </r>
  <r>
    <x v="2"/>
    <x v="25"/>
    <s v="7231"/>
    <s v="Ørslev Sogn"/>
    <s v="Ørslev Kirke"/>
    <s v="Kirke"/>
  </r>
  <r>
    <x v="2"/>
    <x v="25"/>
    <s v="7232"/>
    <s v="Solbjerg Sogn"/>
    <s v="Solbjerg Kirke"/>
    <s v="Kirke"/>
  </r>
  <r>
    <x v="2"/>
    <x v="25"/>
    <s v="7234"/>
    <s v="Gierslev Sogn"/>
    <s v="Gierslev Kirke"/>
    <s v="Kirke"/>
  </r>
  <r>
    <x v="2"/>
    <x v="25"/>
    <s v="7234"/>
    <s v="Gierslev Sogn"/>
    <s v="Vester Løve Kirke"/>
    <s v="Filialkirke"/>
  </r>
  <r>
    <x v="2"/>
    <x v="25"/>
    <s v="7235"/>
    <s v="Finderup Sogn"/>
    <s v="Finderup Kirke"/>
    <s v="Kirke"/>
  </r>
  <r>
    <x v="2"/>
    <x v="25"/>
    <s v="7238"/>
    <s v="Kirke Helsinge Sogn"/>
    <s v="Kirke Helsinge Kirke"/>
    <s v="Kirke"/>
  </r>
  <r>
    <x v="2"/>
    <x v="25"/>
    <s v="7239"/>
    <s v="Drøsselbjerg Sogn"/>
    <s v="Drøsselbjerg Kirke"/>
    <s v="Kirke"/>
  </r>
  <r>
    <x v="2"/>
    <x v="25"/>
    <s v="7253"/>
    <s v="Værslev Sogn"/>
    <s v="Værslev Kirke"/>
    <s v="Kirke"/>
  </r>
  <r>
    <x v="2"/>
    <x v="25"/>
    <s v="7254"/>
    <s v="Jorløse Sogn"/>
    <s v="Jorløse Kirke"/>
    <s v="Kirke"/>
  </r>
  <r>
    <x v="2"/>
    <x v="25"/>
    <s v="7257"/>
    <s v="Sejerø Sogn"/>
    <s v="Sejerø Kirke"/>
    <s v="Kirke"/>
  </r>
  <r>
    <x v="2"/>
    <x v="25"/>
    <s v="7268"/>
    <s v="Vor Frue Sogn"/>
    <s v="Vor Frue Kirke"/>
    <s v="Kirke"/>
  </r>
  <r>
    <x v="2"/>
    <x v="25"/>
    <s v="7269"/>
    <s v="Raklev Sogn"/>
    <s v="Raklev Kirke"/>
    <s v="Kirke"/>
  </r>
  <r>
    <x v="2"/>
    <x v="25"/>
    <s v="7270"/>
    <s v="Røsnæs Sogn"/>
    <s v="Røsnæs Kirke"/>
    <s v="Kirke"/>
  </r>
  <r>
    <x v="2"/>
    <x v="25"/>
    <s v="7271"/>
    <s v="Tømmerup Sogn"/>
    <s v="Bethlehemskirken, Ubberup Valgmenighed"/>
    <s v="Kirke"/>
  </r>
  <r>
    <x v="2"/>
    <x v="25"/>
    <s v="7271"/>
    <s v="Tømmerup Sogn"/>
    <s v="Tømmerup Kirke"/>
    <s v="Kirke"/>
  </r>
  <r>
    <x v="2"/>
    <x v="25"/>
    <s v="7272"/>
    <s v="Årby Sogn"/>
    <s v="Årby Kirke"/>
    <s v="Kirke"/>
  </r>
  <r>
    <x v="2"/>
    <x v="25"/>
    <s v="7273"/>
    <s v="Rørby Sogn"/>
    <s v="Rørby Kirke"/>
    <s v="Kirke"/>
  </r>
  <r>
    <x v="2"/>
    <x v="25"/>
    <s v="9066"/>
    <s v="Nyvangs Sogn"/>
    <s v="Nyvangs Kirke"/>
    <s v="Kirke"/>
  </r>
  <r>
    <x v="2"/>
    <x v="25"/>
    <s v="9066"/>
    <s v="Nyvangs Sogn"/>
    <s v="Kalundborg Kapel"/>
    <s v="Kirke"/>
  </r>
  <r>
    <x v="2"/>
    <x v="25"/>
    <s v="9244"/>
    <s v="Reersø Sogn"/>
    <s v="Reersø Kirke"/>
    <s v="Kirke"/>
  </r>
  <r>
    <x v="2"/>
    <x v="25"/>
    <s v="9312"/>
    <s v="Viskinge-Avnsø Sogn"/>
    <s v="Viskinge Kirke"/>
    <s v="Kirke"/>
  </r>
  <r>
    <x v="2"/>
    <x v="25"/>
    <s v="9312"/>
    <s v="Viskinge-Avnsø Sogn"/>
    <s v="Aunsø Kirke"/>
    <s v="Kirke"/>
  </r>
  <r>
    <x v="2"/>
    <x v="25"/>
    <s v="9312"/>
    <s v="Viskinge-Avnsø Sogn"/>
    <s v="Aunsø Gamle Kirke"/>
    <s v="Filialkirke"/>
  </r>
  <r>
    <x v="2"/>
    <x v="25"/>
    <s v="9315"/>
    <s v="Bregninge-Bjergsted-Alleshave Sogn"/>
    <s v="Bregninge Kirke"/>
    <s v="Kirke"/>
  </r>
  <r>
    <x v="2"/>
    <x v="25"/>
    <s v="9315"/>
    <s v="Bregninge-Bjergsted-Alleshave Sogn"/>
    <s v="Alleshave Kirke"/>
    <s v="Kirke"/>
  </r>
  <r>
    <x v="2"/>
    <x v="25"/>
    <s v="9315"/>
    <s v="Bregninge-Bjergsted-Alleshave Sogn"/>
    <s v="Bjergsted Kirke"/>
    <s v="Kirke"/>
  </r>
  <r>
    <x v="2"/>
    <x v="25"/>
    <s v="9323"/>
    <s v="Føllenslev-Særslev Sogn"/>
    <s v="Nekselø Kirke"/>
    <s v="Kirke"/>
  </r>
  <r>
    <x v="2"/>
    <x v="25"/>
    <s v="9323"/>
    <s v="Føllenslev-Særslev Sogn"/>
    <s v="Føllenslev Kirke"/>
    <s v="Kirke"/>
  </r>
  <r>
    <x v="2"/>
    <x v="25"/>
    <s v="9323"/>
    <s v="Føllenslev-Særslev Sogn"/>
    <s v="Særslev Kirke"/>
    <s v="Kirke"/>
  </r>
  <r>
    <x v="2"/>
    <x v="25"/>
    <s v="9351"/>
    <s v="Gørlev-Bakkendrup Sogn"/>
    <s v="Bakkendrup Kirke"/>
    <s v="Kirke"/>
  </r>
  <r>
    <x v="2"/>
    <x v="25"/>
    <s v="9351"/>
    <s v="Gørlev-Bakkendrup Sogn"/>
    <s v="Gørlev Kirke"/>
    <s v="Kirke"/>
  </r>
  <r>
    <x v="2"/>
    <x v="26"/>
    <s v="7246"/>
    <s v="Orø Sogn"/>
    <s v="Orø Kirke"/>
    <s v="Kirke"/>
  </r>
  <r>
    <x v="2"/>
    <x v="26"/>
    <s v="7274"/>
    <s v="Sankt Nikolai Sogn"/>
    <s v="Margrethe-Kapellet"/>
    <s v="Kirke"/>
  </r>
  <r>
    <x v="2"/>
    <x v="26"/>
    <s v="7274"/>
    <s v="Sankt Nikolai Sogn"/>
    <s v="Sankt Stefanskirke"/>
    <s v="Kirke"/>
  </r>
  <r>
    <x v="2"/>
    <x v="26"/>
    <s v="7274"/>
    <s v="Sankt Nikolai Sogn"/>
    <s v="Østre Kapel"/>
    <s v="Kirkesal"/>
  </r>
  <r>
    <x v="2"/>
    <x v="26"/>
    <s v="7274"/>
    <s v="Sankt Nikolai Sogn"/>
    <s v="Sankt Nikolai Kirke"/>
    <s v="Kirke"/>
  </r>
  <r>
    <x v="2"/>
    <x v="26"/>
    <s v="7275"/>
    <s v="Tveje Merløse Sogn"/>
    <s v="Tveje Merløse Kirke"/>
    <s v="Kirke"/>
  </r>
  <r>
    <x v="2"/>
    <x v="26"/>
    <s v="7275"/>
    <s v="Tveje Merløse Sogn"/>
    <s v="Bethlehemskirken"/>
    <s v="Kirkesal"/>
  </r>
  <r>
    <x v="2"/>
    <x v="26"/>
    <s v="7275"/>
    <s v="Tveje Merløse Sogn"/>
    <s v="Kapellet på Holbæk Sygehus"/>
    <s v="Kirke"/>
  </r>
  <r>
    <x v="2"/>
    <x v="26"/>
    <s v="7278"/>
    <s v="Nørre Jernløse Sogn"/>
    <s v="Nørre Jernløse Kirke"/>
    <s v="Kirke"/>
  </r>
  <r>
    <x v="2"/>
    <x v="26"/>
    <s v="7279"/>
    <s v="Kvanløse Sogn"/>
    <s v="Kvanløse Kirke"/>
    <s v="Kirke"/>
  </r>
  <r>
    <x v="2"/>
    <x v="26"/>
    <s v="7280"/>
    <s v="Sønder Jernløse Sogn"/>
    <s v="Sønder Jernløse Kirke"/>
    <s v="Kirke"/>
  </r>
  <r>
    <x v="2"/>
    <x v="26"/>
    <s v="7281"/>
    <s v="Søstrup Sogn"/>
    <s v="Søstrup Kirke"/>
    <s v="Kirke"/>
  </r>
  <r>
    <x v="2"/>
    <x v="26"/>
    <s v="7284"/>
    <s v="Tølløse Sogn"/>
    <s v="Tølløse Kirke"/>
    <s v="Kirke"/>
  </r>
  <r>
    <x v="2"/>
    <x v="26"/>
    <s v="7286"/>
    <s v="Soderup Sogn"/>
    <s v="Soderup Kirke"/>
    <s v="Kirke"/>
  </r>
  <r>
    <x v="2"/>
    <x v="26"/>
    <s v="7287"/>
    <s v="Kirke Eskilstrup Sogn"/>
    <s v="Kirke Eskilstrup Kirke"/>
    <s v="Kirke"/>
  </r>
  <r>
    <x v="2"/>
    <x v="26"/>
    <s v="7288"/>
    <s v="Store Tåstrup Sogn"/>
    <s v="Store Tåstrup Kirke"/>
    <s v="Kirke"/>
  </r>
  <r>
    <x v="2"/>
    <x v="26"/>
    <s v="7289"/>
    <s v="Ugerløse Sogn"/>
    <s v="Ugerløse Kirke"/>
    <s v="Kirke"/>
  </r>
  <r>
    <x v="2"/>
    <x v="26"/>
    <s v="7294"/>
    <s v="Hagested Sogn"/>
    <s v="Hagested Kirke"/>
    <s v="Kirke"/>
  </r>
  <r>
    <x v="2"/>
    <x v="26"/>
    <s v="7295"/>
    <s v="Gislinge Sogn"/>
    <s v="Gislinge Kirke"/>
    <s v="Kirke"/>
  </r>
  <r>
    <x v="2"/>
    <x v="26"/>
    <s v="7296"/>
    <s v="Kundby Sogn"/>
    <s v="Kundby Kirke"/>
    <s v="Kirke"/>
  </r>
  <r>
    <x v="2"/>
    <x v="26"/>
    <s v="7299"/>
    <s v="Jyderup Sogn"/>
    <s v="Jyderup Kirke"/>
    <s v="Kirke"/>
  </r>
  <r>
    <x v="2"/>
    <x v="26"/>
    <s v="7300"/>
    <s v="Holmstrup Sogn"/>
    <s v="Holmstrup Kirke"/>
    <s v="Kirke"/>
  </r>
  <r>
    <x v="2"/>
    <x v="26"/>
    <s v="9176"/>
    <s v="Hjembæk-Svinninge Sogn"/>
    <s v="Svinninge Kirke"/>
    <s v="Kirke"/>
  </r>
  <r>
    <x v="2"/>
    <x v="26"/>
    <s v="9176"/>
    <s v="Hjembæk-Svinninge Sogn"/>
    <s v="Hjembæk Kirke"/>
    <s v="Kirke"/>
  </r>
  <r>
    <x v="2"/>
    <x v="26"/>
    <s v="9177"/>
    <s v="Butterup-Tuse Sogn"/>
    <s v="Butterup Kirke"/>
    <s v="Kirke"/>
  </r>
  <r>
    <x v="2"/>
    <x v="26"/>
    <s v="9177"/>
    <s v="Butterup-Tuse Sogn"/>
    <s v="Tuse Kirke"/>
    <s v="Kirke"/>
  </r>
  <r>
    <x v="2"/>
    <x v="26"/>
    <s v="9179"/>
    <s v="Skamstrup-Frydendal Sogn"/>
    <s v="Skamstrup Kirke"/>
    <s v="Kirke"/>
  </r>
  <r>
    <x v="2"/>
    <x v="26"/>
    <s v="9179"/>
    <s v="Skamstrup-Frydendal Sogn"/>
    <s v="Frydendal Kirke"/>
    <s v="Kirke"/>
  </r>
  <r>
    <x v="2"/>
    <x v="26"/>
    <s v="9189"/>
    <s v="Stigs Bjergby-Mørkøv Sogn"/>
    <s v="Mørkøv Kirke"/>
    <s v="Kirke"/>
  </r>
  <r>
    <x v="2"/>
    <x v="26"/>
    <s v="9189"/>
    <s v="Stigs Bjergby-Mørkøv Sogn"/>
    <s v="Stigs Bjergby Kirke"/>
    <s v="Kirke"/>
  </r>
  <r>
    <x v="2"/>
    <x v="26"/>
    <s v="9192"/>
    <s v="Tuse Næs Sogn"/>
    <s v="Udby Kirke"/>
    <s v="Kirke"/>
  </r>
  <r>
    <x v="2"/>
    <x v="26"/>
    <s v="9192"/>
    <s v="Tuse Næs Sogn"/>
    <s v="Hørby Kirke"/>
    <s v="Kirke"/>
  </r>
  <r>
    <x v="2"/>
    <x v="26"/>
    <s v="9292"/>
    <s v="Vipperød Sogn"/>
    <s v="Grandløse Kirke"/>
    <s v="Kirke"/>
  </r>
  <r>
    <x v="2"/>
    <x v="26"/>
    <s v="9292"/>
    <s v="Vipperød Sogn"/>
    <s v="Sønder Asmindrup Kirke"/>
    <s v="Kirke"/>
  </r>
  <r>
    <x v="2"/>
    <x v="26"/>
    <s v="9292"/>
    <s v="Vipperød Sogn"/>
    <s v="Ågerup Kirke"/>
    <s v="Kirke"/>
  </r>
  <r>
    <x v="2"/>
    <x v="26"/>
    <s v="9325"/>
    <s v="Undløse-Søndersted Sogn"/>
    <s v="Søndersted Kirke"/>
    <s v="Kirke"/>
  </r>
  <r>
    <x v="2"/>
    <x v="26"/>
    <s v="9325"/>
    <s v="Undløse-Søndersted Sogn"/>
    <s v="Undløse Kirke"/>
    <s v="Kirke"/>
  </r>
  <r>
    <x v="2"/>
    <x v="27"/>
    <s v="7255"/>
    <s v="Vallekilde Sogn"/>
    <s v="Vallekilde Kirke"/>
    <s v="Kirke"/>
  </r>
  <r>
    <x v="2"/>
    <x v="27"/>
    <s v="7255"/>
    <s v="Vallekilde Sogn"/>
    <s v="Korskirken, Vallekilde Valgmenighed"/>
    <s v="Kirke"/>
  </r>
  <r>
    <x v="2"/>
    <x v="27"/>
    <s v="7256"/>
    <s v="Hørve Sogn"/>
    <s v="Hørve Kirke"/>
    <s v="Kirke"/>
  </r>
  <r>
    <x v="2"/>
    <x v="27"/>
    <s v="7258"/>
    <s v="Nykøbing Sj Sogn"/>
    <s v="Nykøbing Sj. Kirkes Kapel"/>
    <s v="Kirke"/>
  </r>
  <r>
    <x v="2"/>
    <x v="27"/>
    <s v="7258"/>
    <s v="Nykøbing Sj Sogn"/>
    <s v="Anneberg Kirke"/>
    <s v="Kirke"/>
  </r>
  <r>
    <x v="2"/>
    <x v="27"/>
    <s v="7258"/>
    <s v="Nykøbing Sj Sogn"/>
    <s v="Amtshospitalets Kirke"/>
    <s v="Filialkirke"/>
  </r>
  <r>
    <x v="2"/>
    <x v="27"/>
    <s v="7258"/>
    <s v="Nykøbing Sj Sogn"/>
    <s v="Nykøbing Sj Kirke"/>
    <s v="Kirke"/>
  </r>
  <r>
    <x v="2"/>
    <x v="27"/>
    <s v="7259"/>
    <s v="Rørvig Sogn"/>
    <s v="Rørvig Kirke"/>
    <s v="Kirke"/>
  </r>
  <r>
    <x v="2"/>
    <x v="27"/>
    <s v="7260"/>
    <s v="Odden Sogn"/>
    <s v="Odden Kirke"/>
    <s v="Kirke"/>
  </r>
  <r>
    <x v="2"/>
    <x v="27"/>
    <s v="7261"/>
    <s v="Højby Sogn"/>
    <s v="Højby Kirkes Kapel"/>
    <s v="Kirke"/>
  </r>
  <r>
    <x v="2"/>
    <x v="27"/>
    <s v="7261"/>
    <s v="Højby Sogn"/>
    <s v="Højby Kirke"/>
    <s v="Kirke"/>
  </r>
  <r>
    <x v="2"/>
    <x v="27"/>
    <s v="7262"/>
    <s v="Vig Sogn"/>
    <s v="Vig Kirke"/>
    <s v="Kirke"/>
  </r>
  <r>
    <x v="2"/>
    <x v="27"/>
    <s v="7263"/>
    <s v="Nørre Asmindrup Sogn"/>
    <s v="Nørre Asmindrup Kirke"/>
    <s v="Kirke"/>
  </r>
  <r>
    <x v="2"/>
    <x v="27"/>
    <s v="7264"/>
    <s v="Egebjerg Sogn"/>
    <s v="Egebjerg Kirke"/>
    <s v="Kirke"/>
  </r>
  <r>
    <x v="2"/>
    <x v="27"/>
    <s v="7265"/>
    <s v="Grevinge Sogn"/>
    <s v="Grevinge Kirke"/>
    <s v="Kirke"/>
  </r>
  <r>
    <x v="2"/>
    <x v="27"/>
    <s v="7266"/>
    <s v="Asnæs Sogn"/>
    <s v="Asnæs Kirke"/>
    <s v="Kirke"/>
  </r>
  <r>
    <x v="2"/>
    <x v="27"/>
    <s v="7267"/>
    <s v="Fårevejle Sogn"/>
    <s v="Dragsholm Kirke"/>
    <s v="Filialkirke"/>
  </r>
  <r>
    <x v="2"/>
    <x v="27"/>
    <s v="7267"/>
    <s v="Fårevejle Sogn"/>
    <s v="Fårevejle Kirke"/>
    <s v="Kirke"/>
  </r>
  <r>
    <x v="2"/>
    <x v="27"/>
    <s v="9246"/>
    <s v="Lumsås Sogn"/>
    <s v="Lumsås Kirke"/>
    <s v="Kirke"/>
  </r>
  <r>
    <x v="2"/>
    <x v="28"/>
    <s v="7227"/>
    <s v="Ruds Vedby Sogn"/>
    <s v="Ruds Vedby Kirke"/>
    <s v="Kirke"/>
  </r>
  <r>
    <x v="2"/>
    <x v="28"/>
    <s v="7245"/>
    <s v="Stenlille Sogn"/>
    <s v="Stenlille Kirke"/>
    <s v="Kirke"/>
  </r>
  <r>
    <x v="2"/>
    <x v="28"/>
    <s v="7338"/>
    <s v="Munke Bjergby Sogn"/>
    <s v="Munke Bjergby Kirke"/>
    <s v="Kirke"/>
  </r>
  <r>
    <x v="2"/>
    <x v="28"/>
    <s v="7339"/>
    <s v="Bromme Sogn"/>
    <s v="Bromme Kirke"/>
    <s v="Kirke"/>
  </r>
  <r>
    <x v="2"/>
    <x v="28"/>
    <s v="7340"/>
    <s v="Gyrstinge Sogn"/>
    <s v="Gyrstinge Kirke"/>
    <s v="Kirke"/>
  </r>
  <r>
    <x v="2"/>
    <x v="28"/>
    <s v="7341"/>
    <s v="Kirke Flinterup Sogn"/>
    <s v="Flinterup Kirke"/>
    <s v="Kirke"/>
  </r>
  <r>
    <x v="2"/>
    <x v="28"/>
    <s v="7342"/>
    <s v="Stenmagle Sogn"/>
    <s v="Stenmagle Kirke"/>
    <s v="Kirke"/>
  </r>
  <r>
    <x v="2"/>
    <x v="28"/>
    <s v="7343"/>
    <s v="Bringstrup Sogn"/>
    <s v="Bringstrup Kirke"/>
    <s v="Kirke"/>
  </r>
  <r>
    <x v="2"/>
    <x v="28"/>
    <s v="7344"/>
    <s v="Sigersted Sogn"/>
    <s v="Sigersted Kirke"/>
    <s v="Kirke"/>
  </r>
  <r>
    <x v="2"/>
    <x v="28"/>
    <s v="7363"/>
    <s v="Ringsted Sogn"/>
    <s v="Ringsted Kirkegårdskapel"/>
    <s v="Kirke"/>
  </r>
  <r>
    <x v="2"/>
    <x v="28"/>
    <s v="7363"/>
    <s v="Ringsted Sogn"/>
    <s v="Klostermarkskirken"/>
    <s v="Filialkirke"/>
  </r>
  <r>
    <x v="2"/>
    <x v="28"/>
    <s v="7363"/>
    <s v="Ringsted Sogn"/>
    <s v="Sankt Bendts Kirke"/>
    <s v="Kirke"/>
  </r>
  <r>
    <x v="2"/>
    <x v="28"/>
    <s v="7364"/>
    <s v="Benløse Sogn"/>
    <s v="Benløse Kirke"/>
    <s v="Kirke"/>
  </r>
  <r>
    <x v="2"/>
    <x v="28"/>
    <s v="7367"/>
    <s v="Jystrup Sogn"/>
    <s v="Jystrup Kirke"/>
    <s v="Kirke"/>
  </r>
  <r>
    <x v="2"/>
    <x v="28"/>
    <s v="7368"/>
    <s v="Valsølille Sogn"/>
    <s v="Valsølille Kirke"/>
    <s v="Kirke"/>
  </r>
  <r>
    <x v="2"/>
    <x v="28"/>
    <s v="7369"/>
    <s v="Vigersted Sogn"/>
    <s v="Vigersted Kirke"/>
    <s v="Kirke"/>
  </r>
  <r>
    <x v="2"/>
    <x v="28"/>
    <s v="7370"/>
    <s v="Kværkeby Sogn"/>
    <s v="Kværkeby Kirke"/>
    <s v="Kirke"/>
  </r>
  <r>
    <x v="2"/>
    <x v="28"/>
    <s v="7371"/>
    <s v="Nordrupøster Sogn"/>
    <s v="Nordrup Kirke"/>
    <s v="Kirke"/>
  </r>
  <r>
    <x v="2"/>
    <x v="28"/>
    <s v="7372"/>
    <s v="Farendløse Sogn"/>
    <s v="Farendløse Kirke"/>
    <s v="Kirke"/>
  </r>
  <r>
    <x v="2"/>
    <x v="28"/>
    <s v="7373"/>
    <s v="Vetterslev Sogn"/>
    <s v="Vetterslev Kirke"/>
    <s v="Kirke"/>
  </r>
  <r>
    <x v="2"/>
    <x v="28"/>
    <s v="7374"/>
    <s v="Høm Sogn"/>
    <s v="Høm Kirke"/>
    <s v="Kirke"/>
  </r>
  <r>
    <x v="2"/>
    <x v="28"/>
    <s v="7376"/>
    <s v="Sneslev Sogn"/>
    <s v="Sneslev Kirke"/>
    <s v="Kirke"/>
  </r>
  <r>
    <x v="2"/>
    <x v="28"/>
    <s v="7378"/>
    <s v="Ørslev Sogn"/>
    <s v="Ørslev Kirke"/>
    <s v="Kirke"/>
  </r>
  <r>
    <x v="2"/>
    <x v="28"/>
    <s v="7383"/>
    <s v="Sorø Sogn"/>
    <s v="Sorø Klosterkirkes Kapel"/>
    <s v="Kirke"/>
  </r>
  <r>
    <x v="2"/>
    <x v="28"/>
    <s v="7383"/>
    <s v="Sorø Sogn"/>
    <s v="Sorø Klosterkirke"/>
    <s v="Kirke"/>
  </r>
  <r>
    <x v="2"/>
    <x v="28"/>
    <s v="7384"/>
    <s v="Pedersborg Sogn"/>
    <s v="Pedersborg Kirke"/>
    <s v="Kirke"/>
  </r>
  <r>
    <x v="2"/>
    <x v="28"/>
    <s v="7386"/>
    <s v="Lynge Sogn"/>
    <s v="Lynge Kirke"/>
    <s v="Kirke"/>
  </r>
  <r>
    <x v="2"/>
    <x v="28"/>
    <s v="7387"/>
    <s v="Vester Broby Sogn"/>
    <s v="Vester Broby Kirke"/>
    <s v="Kirke"/>
  </r>
  <r>
    <x v="2"/>
    <x v="28"/>
    <s v="7388"/>
    <s v="Alsted Sogn"/>
    <s v="Alsted Kirke"/>
    <s v="Kirke"/>
  </r>
  <r>
    <x v="2"/>
    <x v="28"/>
    <s v="7389"/>
    <s v="Fjenneslev Sogn"/>
    <s v="Fjenneslev Kirke"/>
    <s v="Kirke"/>
  </r>
  <r>
    <x v="2"/>
    <x v="28"/>
    <s v="7390"/>
    <s v="Slaglille Sogn"/>
    <s v="Slaglille Kirke"/>
    <s v="Kirke"/>
  </r>
  <r>
    <x v="2"/>
    <x v="28"/>
    <s v="7391"/>
    <s v="Bjernede Sogn"/>
    <s v="Bjernede Kirke"/>
    <s v="Kirke"/>
  </r>
  <r>
    <x v="2"/>
    <x v="28"/>
    <s v="9322"/>
    <s v="Haraldsted-Allindemagle Sogn"/>
    <s v="Allindemagle Kirke"/>
    <s v="Kirke"/>
  </r>
  <r>
    <x v="2"/>
    <x v="28"/>
    <s v="9322"/>
    <s v="Haraldsted-Allindemagle Sogn"/>
    <s v="Haraldsted Kirke"/>
    <s v="Kirke"/>
  </r>
  <r>
    <x v="2"/>
    <x v="28"/>
    <s v="9353"/>
    <s v="Tersløse-Skellebjerg-Niløse Sogn"/>
    <s v="Tersløse Kirke"/>
    <s v="Kirke"/>
  </r>
  <r>
    <x v="2"/>
    <x v="28"/>
    <s v="9353"/>
    <s v="Tersløse-Skellebjerg-Niløse Sogn"/>
    <s v="Niløse Kirke"/>
    <s v="Kirke"/>
  </r>
  <r>
    <x v="2"/>
    <x v="28"/>
    <s v="9353"/>
    <s v="Tersløse-Skellebjerg-Niløse Sogn"/>
    <s v="Skellebjerg Kirke"/>
    <s v="Kirke"/>
  </r>
  <r>
    <x v="2"/>
    <x v="28"/>
    <s v="9353"/>
    <s v="Tersløse-Skellebjerg-Niløse Sogn"/>
    <s v="Kolonien Filadelfia Kirke"/>
    <s v="Filialkirke"/>
  </r>
  <r>
    <x v="2"/>
    <x v="28"/>
    <s v="9353"/>
    <s v="Tersløse-Skellebjerg-Niløse Sogn"/>
    <s v="Skovkirken Kolonien Filadelfia"/>
    <s v="Kirkesal"/>
  </r>
  <r>
    <x v="2"/>
    <x v="29"/>
    <s v="7375"/>
    <s v="Øde Førslev Sogn"/>
    <s v="Øde Førslev Kirke"/>
    <s v="Kirke"/>
  </r>
  <r>
    <x v="2"/>
    <x v="29"/>
    <s v="7377"/>
    <s v="Terslev Sogn"/>
    <s v="Terslev Kirke"/>
    <s v="Kirke"/>
  </r>
  <r>
    <x v="2"/>
    <x v="29"/>
    <s v="7379"/>
    <s v="Haslev Sogn"/>
    <s v="Haslev Kapel"/>
    <s v="Kirke"/>
  </r>
  <r>
    <x v="2"/>
    <x v="29"/>
    <s v="7379"/>
    <s v="Haslev Sogn"/>
    <s v="Haslev Kirke"/>
    <s v="Kirke"/>
  </r>
  <r>
    <x v="2"/>
    <x v="29"/>
    <s v="7379"/>
    <s v="Haslev Sogn"/>
    <s v="Bregentved Slotskapel"/>
    <s v="Kirkesal"/>
  </r>
  <r>
    <x v="2"/>
    <x v="29"/>
    <s v="7380"/>
    <s v="Freerslev Sogn"/>
    <s v="Freerslev Kirke"/>
    <s v="Kirke"/>
  </r>
  <r>
    <x v="2"/>
    <x v="29"/>
    <s v="7381"/>
    <s v="Teestrup Sogn"/>
    <s v="Teestrup Kirke"/>
    <s v="Kirke"/>
  </r>
  <r>
    <x v="2"/>
    <x v="29"/>
    <s v="7382"/>
    <s v="Bråby Sogn"/>
    <s v="Bråby Kirke"/>
    <s v="Kirke"/>
  </r>
  <r>
    <x v="2"/>
    <x v="29"/>
    <s v="7493"/>
    <s v="Lille Heddinge Sogn"/>
    <s v="Lille Heddinge Kirke"/>
    <s v="Kirke"/>
  </r>
  <r>
    <x v="2"/>
    <x v="29"/>
    <s v="7494"/>
    <s v="Havnelev Sogn"/>
    <s v="Havnelev Kirke"/>
    <s v="Kirke"/>
  </r>
  <r>
    <x v="2"/>
    <x v="29"/>
    <s v="7495"/>
    <s v="Magleby Stevns Sogn"/>
    <s v="Magleby Kirke"/>
    <s v="Kirke"/>
  </r>
  <r>
    <x v="2"/>
    <x v="29"/>
    <s v="7496"/>
    <s v="Holtug Sogn"/>
    <s v="Holtug Kirke"/>
    <s v="Kirke"/>
  </r>
  <r>
    <x v="2"/>
    <x v="29"/>
    <s v="7497"/>
    <s v="Strøby Sogn"/>
    <s v="Strøby Kirke"/>
    <s v="Kirke"/>
  </r>
  <r>
    <x v="2"/>
    <x v="29"/>
    <s v="7498"/>
    <s v="Varpelev Sogn"/>
    <s v="Varpelev Kirke"/>
    <s v="Kirke"/>
  </r>
  <r>
    <x v="2"/>
    <x v="29"/>
    <s v="7512"/>
    <s v="Vester Egede Sogn"/>
    <s v="Vester Egede Kirke"/>
    <s v="Kirke"/>
  </r>
  <r>
    <x v="2"/>
    <x v="29"/>
    <s v="7522"/>
    <s v="Faxe Sogn"/>
    <s v="Faxe Kirke"/>
    <s v="Kirke"/>
  </r>
  <r>
    <x v="2"/>
    <x v="29"/>
    <s v="7523"/>
    <s v="Hylleholt Sogn"/>
    <s v="Hylleholt Kirke"/>
    <s v="Kirke"/>
  </r>
  <r>
    <x v="2"/>
    <x v="29"/>
    <s v="7524"/>
    <s v="Spjellerup Sogn"/>
    <s v="Spjellerup Kirke"/>
    <s v="Kirke"/>
  </r>
  <r>
    <x v="2"/>
    <x v="29"/>
    <s v="7525"/>
    <s v="Smerup Sogn"/>
    <s v="Smerup Kirke"/>
    <s v="Kirke"/>
  </r>
  <r>
    <x v="2"/>
    <x v="29"/>
    <s v="7526"/>
    <s v="Hellested Sogn"/>
    <s v="Hellested Kirke"/>
    <s v="Kirke"/>
  </r>
  <r>
    <x v="2"/>
    <x v="29"/>
    <s v="7527"/>
    <s v="Vemmetofte Sogn"/>
    <s v="Vemmetofte Klosterkirke"/>
    <s v="Kirke"/>
  </r>
  <r>
    <x v="2"/>
    <x v="29"/>
    <s v="7528"/>
    <s v="Karise Sogn"/>
    <s v="Karise Kirke"/>
    <s v="Kirke"/>
  </r>
  <r>
    <x v="2"/>
    <x v="29"/>
    <s v="7529"/>
    <s v="Alslev Sogn"/>
    <s v="Alslev Kirke"/>
    <s v="Kirke"/>
  </r>
  <r>
    <x v="2"/>
    <x v="29"/>
    <s v="7530"/>
    <s v="Sønder Dalby Sogn"/>
    <s v="Dalby Kirke"/>
    <s v="Kirke"/>
  </r>
  <r>
    <x v="2"/>
    <x v="29"/>
    <s v="7531"/>
    <s v="Tureby Sogn"/>
    <s v="Tureby Kirke"/>
    <s v="Kirke"/>
  </r>
  <r>
    <x v="2"/>
    <x v="29"/>
    <s v="7532"/>
    <s v="Ulse Sogn"/>
    <s v="Ulse Kirke"/>
    <s v="Kirke"/>
  </r>
  <r>
    <x v="2"/>
    <x v="29"/>
    <s v="7533"/>
    <s v="Øster Egede Sogn"/>
    <s v="Øster Egede Kirke"/>
    <s v="Kirke"/>
  </r>
  <r>
    <x v="2"/>
    <x v="29"/>
    <s v="7534"/>
    <s v="Kongsted Sogn"/>
    <s v="Kongsted Kirke"/>
    <s v="Kirke"/>
  </r>
  <r>
    <x v="2"/>
    <x v="29"/>
    <s v="7535"/>
    <s v="Roholte Sogn"/>
    <s v="Roholte Kirke"/>
    <s v="Kirke"/>
  </r>
  <r>
    <x v="2"/>
    <x v="29"/>
    <s v="7542"/>
    <s v="Valløby Sogn"/>
    <s v="Valløby Kirke"/>
    <s v="Kirke"/>
  </r>
  <r>
    <x v="2"/>
    <x v="29"/>
    <s v="7543"/>
    <s v="Tårnby Sogn"/>
    <s v="Tårnby Kirke"/>
    <s v="Kirke"/>
  </r>
  <r>
    <x v="2"/>
    <x v="29"/>
    <s v="7544"/>
    <s v="Hårlev Sogn"/>
    <s v="Hårlev Kirke"/>
    <s v="Kirke"/>
  </r>
  <r>
    <x v="2"/>
    <x v="29"/>
    <s v="7545"/>
    <s v="Himlingøje Sogn"/>
    <s v="Himlingøje Kirke"/>
    <s v="Kirke"/>
  </r>
  <r>
    <x v="2"/>
    <x v="29"/>
    <s v="7546"/>
    <s v="Endeslev Sogn"/>
    <s v="Endeslev Kirke"/>
    <s v="Kirke"/>
  </r>
  <r>
    <x v="2"/>
    <x v="29"/>
    <s v="7547"/>
    <s v="Vråby Sogn"/>
    <s v="Vråby Kirke"/>
    <s v="Kirke"/>
  </r>
  <r>
    <x v="2"/>
    <x v="29"/>
    <s v="7548"/>
    <s v="Store Heddinge Sogn"/>
    <s v="Sankt Katharina Kirke"/>
    <s v="Kirke"/>
  </r>
  <r>
    <x v="2"/>
    <x v="29"/>
    <s v="7549"/>
    <s v="Højerup Sogn"/>
    <s v="Højerup Kirke"/>
    <s v="Kirke"/>
  </r>
  <r>
    <x v="2"/>
    <x v="29"/>
    <s v="7550"/>
    <s v="Lyderslev Sogn"/>
    <s v="Lyderslev Kirke"/>
    <s v="Kirke"/>
  </r>
  <r>
    <x v="2"/>
    <x v="29"/>
    <s v="7550"/>
    <s v="Lyderslev Sogn"/>
    <s v="Stevns Valgmenighed"/>
    <s v="Kirke"/>
  </r>
  <r>
    <x v="2"/>
    <x v="29"/>
    <s v="7551"/>
    <s v="Frøslev Sogn"/>
    <s v="Frøslev Kirke"/>
    <s v="Kirke"/>
  </r>
  <r>
    <x v="2"/>
    <x v="30"/>
    <s v="7304"/>
    <s v="Karrebæk Sogn"/>
    <s v="Karrebæk Kirke"/>
    <s v="Kirke"/>
  </r>
  <r>
    <x v="2"/>
    <x v="30"/>
    <s v="7305"/>
    <s v="Fodby Sogn"/>
    <s v="Fodby Kirke"/>
    <s v="Kirke"/>
  </r>
  <r>
    <x v="2"/>
    <x v="30"/>
    <s v="7306"/>
    <s v="Herlufsholm Sogn"/>
    <s v="Herlufsholm Kirke"/>
    <s v="Kirke"/>
  </r>
  <r>
    <x v="2"/>
    <x v="30"/>
    <s v="7307"/>
    <s v="Gunderslev Sogn"/>
    <s v="Gunderslev Kirke"/>
    <s v="Kirke"/>
  </r>
  <r>
    <x v="2"/>
    <x v="30"/>
    <s v="7317"/>
    <s v="Hårslev Sogn"/>
    <s v="Hårslev Kirke"/>
    <s v="Kirke"/>
  </r>
  <r>
    <x v="2"/>
    <x v="30"/>
    <s v="7318"/>
    <s v="Ting Jellinge Sogn"/>
    <s v="Ting Jellinge Kirke"/>
    <s v="Kirke"/>
  </r>
  <r>
    <x v="2"/>
    <x v="30"/>
    <s v="7330"/>
    <s v="Krummerup Sogn"/>
    <s v="Krummerup Kirke"/>
    <s v="Kirke"/>
  </r>
  <r>
    <x v="2"/>
    <x v="30"/>
    <s v="7332"/>
    <s v="Førslev Sogn"/>
    <s v="Førslev Kirke"/>
    <s v="Kirke"/>
  </r>
  <r>
    <x v="2"/>
    <x v="30"/>
    <s v="7333"/>
    <s v="Vallensved Sogn"/>
    <s v="Vallensved Kirke"/>
    <s v="Kirke"/>
  </r>
  <r>
    <x v="2"/>
    <x v="30"/>
    <s v="7334"/>
    <s v="Marvede Sogn"/>
    <s v="Marvede Kirke"/>
    <s v="Kirke"/>
  </r>
  <r>
    <x v="2"/>
    <x v="30"/>
    <s v="7335"/>
    <s v="Hyllinge Sogn"/>
    <s v="Hyllinge Kirke"/>
    <s v="Kirke"/>
  </r>
  <r>
    <x v="2"/>
    <x v="30"/>
    <s v="7336"/>
    <s v="Kvislemark Sogn"/>
    <s v="Kvislemark Kirke"/>
    <s v="Kirke"/>
  </r>
  <r>
    <x v="2"/>
    <x v="30"/>
    <s v="7337"/>
    <s v="Fyrendal Sogn"/>
    <s v="Fyrendal Kirke"/>
    <s v="Kirke"/>
  </r>
  <r>
    <x v="2"/>
    <x v="30"/>
    <s v="7463"/>
    <s v="Tyvelse Sogn"/>
    <s v="Tyvelse Kirke"/>
    <s v="Kirke"/>
  </r>
  <r>
    <x v="2"/>
    <x v="30"/>
    <s v="7464"/>
    <s v="Sandby Sogn"/>
    <s v="Sandby Kirke"/>
    <s v="Kirke"/>
  </r>
  <r>
    <x v="2"/>
    <x v="30"/>
    <s v="7465"/>
    <s v="Vrangstrup Sogn"/>
    <s v="Vrangstrup Kirke"/>
    <s v="Kirke"/>
  </r>
  <r>
    <x v="2"/>
    <x v="30"/>
    <s v="7472"/>
    <s v="Everdrup Sogn"/>
    <s v="Sankt Peders Kapel"/>
    <s v="Filialkirke"/>
  </r>
  <r>
    <x v="2"/>
    <x v="30"/>
    <s v="7472"/>
    <s v="Everdrup Sogn"/>
    <s v="Everdrup Kirke"/>
    <s v="Kirke"/>
  </r>
  <r>
    <x v="2"/>
    <x v="30"/>
    <s v="7473"/>
    <s v="Snesere Sogn"/>
    <s v="Snesere Kirke"/>
    <s v="Kirke"/>
  </r>
  <r>
    <x v="2"/>
    <x v="30"/>
    <s v="7499"/>
    <s v="Toksværd Sogn"/>
    <s v="Toksværd Kirke"/>
    <s v="Kirke"/>
  </r>
  <r>
    <x v="2"/>
    <x v="30"/>
    <s v="7500"/>
    <s v="Rønnebæk Sogn"/>
    <s v="Rønnebæk Kirke"/>
    <s v="Kirke"/>
  </r>
  <r>
    <x v="2"/>
    <x v="30"/>
    <s v="7501"/>
    <s v="Holme Olstrup Sogn"/>
    <s v="Holme Olstrup Kirke"/>
    <s v="Kirke"/>
  </r>
  <r>
    <x v="2"/>
    <x v="30"/>
    <s v="7502"/>
    <s v="Næstelsø Sogn"/>
    <s v="Næstelsø Kirke"/>
    <s v="Kirke"/>
  </r>
  <r>
    <x v="2"/>
    <x v="30"/>
    <s v="7503"/>
    <s v="Mogenstrup Sogn"/>
    <s v="Mogenstrup Kirke"/>
    <s v="Kirke"/>
  </r>
  <r>
    <x v="2"/>
    <x v="30"/>
    <s v="7504"/>
    <s v="Vejlø Sogn"/>
    <s v="Gavnø Slotskapel"/>
    <s v="Kirkesal"/>
  </r>
  <r>
    <x v="2"/>
    <x v="30"/>
    <s v="7504"/>
    <s v="Vejlø Sogn"/>
    <s v="Vejlø Kirke"/>
    <s v="Kirke"/>
  </r>
  <r>
    <x v="2"/>
    <x v="30"/>
    <s v="7505"/>
    <s v="Vester Egesborg Sogn"/>
    <s v="Vester Egesborg Kirke"/>
    <s v="Kirke"/>
  </r>
  <r>
    <x v="2"/>
    <x v="30"/>
    <s v="7506"/>
    <s v="Hammer Sogn"/>
    <s v="Hammer Kirke"/>
    <s v="Kirke"/>
  </r>
  <r>
    <x v="2"/>
    <x v="30"/>
    <s v="7510"/>
    <s v="Sankt Peders Sogn"/>
    <s v="Sankt Peders Kirke"/>
    <s v="Kirke"/>
  </r>
  <r>
    <x v="2"/>
    <x v="30"/>
    <s v="7510"/>
    <s v="Sankt Peders Sogn"/>
    <s v="Næstved Sygehus, Kapel"/>
    <s v="Kirke"/>
  </r>
  <r>
    <x v="2"/>
    <x v="30"/>
    <s v="7510"/>
    <s v="Sankt Peders Sogn"/>
    <s v="Næstved Østre Kapel"/>
    <s v="Kirke"/>
  </r>
  <r>
    <x v="2"/>
    <x v="30"/>
    <s v="7511"/>
    <s v="Sankt Mortens Sogn"/>
    <s v="Sankt Mortens Kirke"/>
    <s v="Kirke"/>
  </r>
  <r>
    <x v="2"/>
    <x v="30"/>
    <s v="7511"/>
    <s v="Sankt Mortens Sogn"/>
    <s v="Næstved gamle kapel"/>
    <s v="Kirke"/>
  </r>
  <r>
    <x v="2"/>
    <x v="30"/>
    <s v="7513"/>
    <s v="Aversi Sogn"/>
    <s v="Aversi Kirke"/>
    <s v="Kirke"/>
  </r>
  <r>
    <x v="2"/>
    <x v="30"/>
    <s v="7514"/>
    <s v="Tybjerg Sogn"/>
    <s v="Tybjerg Kirke"/>
    <s v="Kirke"/>
  </r>
  <r>
    <x v="2"/>
    <x v="30"/>
    <s v="7515"/>
    <s v="Herlufmagle Sogn"/>
    <s v="Herlufmagle Kirke"/>
    <s v="Kirke"/>
  </r>
  <r>
    <x v="2"/>
    <x v="30"/>
    <s v="7516"/>
    <s v="Fensmark Sogn"/>
    <s v="Fensmark Kirke"/>
    <s v="Kirke"/>
  </r>
  <r>
    <x v="2"/>
    <x v="30"/>
    <s v="7517"/>
    <s v="Rislev Sogn"/>
    <s v="Rislev Kirke"/>
    <s v="Kirke"/>
  </r>
  <r>
    <x v="2"/>
    <x v="30"/>
    <s v="7518"/>
    <s v="Skelby Sogn"/>
    <s v="Skelby Kirke"/>
    <s v="Kirke"/>
  </r>
  <r>
    <x v="2"/>
    <x v="30"/>
    <s v="9111"/>
    <s v="Sankt Jørgens Sogn"/>
    <s v="Sankt Jørgens Kirke"/>
    <s v="Kirke"/>
  </r>
  <r>
    <x v="2"/>
    <x v="30"/>
    <s v="9162"/>
    <s v="Holsted Sogn"/>
    <s v="Holsted Kirke"/>
    <s v="Kirke"/>
  </r>
  <r>
    <x v="2"/>
    <x v="30"/>
    <s v="9324"/>
    <s v="Fuglebjerg-Tystrup-Haldagerlille Sogn"/>
    <s v="Fuglebjerg Kirke"/>
    <s v="Kirke"/>
  </r>
  <r>
    <x v="2"/>
    <x v="30"/>
    <s v="9324"/>
    <s v="Fuglebjerg-Tystrup-Haldagerlille Sogn"/>
    <s v="Haldagerlille Kirke"/>
    <s v="Kirke"/>
  </r>
  <r>
    <x v="2"/>
    <x v="30"/>
    <s v="9324"/>
    <s v="Fuglebjerg-Tystrup-Haldagerlille Sogn"/>
    <s v="Tystrup Kirke"/>
    <s v="Kirke"/>
  </r>
  <r>
    <x v="2"/>
    <x v="30"/>
    <s v="9344"/>
    <s v="Glumsø-Bavelse-Næsby Sogn"/>
    <s v="Glumsø Kirke"/>
    <s v="Kirke"/>
  </r>
  <r>
    <x v="2"/>
    <x v="30"/>
    <s v="9344"/>
    <s v="Glumsø-Bavelse-Næsby Sogn"/>
    <s v="Bavelse Kirke"/>
    <s v="Kirke"/>
  </r>
  <r>
    <x v="2"/>
    <x v="30"/>
    <s v="9344"/>
    <s v="Glumsø-Bavelse-Næsby Sogn"/>
    <s v="Næsby Kirke"/>
    <s v="Kirke"/>
  </r>
  <r>
    <x v="2"/>
    <x v="31"/>
    <s v="7466"/>
    <s v="Præstø Sogn"/>
    <s v="Præstø Kirke"/>
    <s v="Kirke"/>
  </r>
  <r>
    <x v="2"/>
    <x v="31"/>
    <s v="7466"/>
    <s v="Præstø Sogn"/>
    <s v="Præstø Kapel"/>
    <s v="Kirke"/>
  </r>
  <r>
    <x v="2"/>
    <x v="31"/>
    <s v="7468"/>
    <s v="Skibinge Sogn"/>
    <s v="Skibinge Kirke"/>
    <s v="Kirke"/>
  </r>
  <r>
    <x v="2"/>
    <x v="31"/>
    <s v="7469"/>
    <s v="Vordingborg Sogn"/>
    <s v="Vordingborg Kirke"/>
    <s v="Kirke"/>
  </r>
  <r>
    <x v="2"/>
    <x v="31"/>
    <s v="7469"/>
    <s v="Vordingborg Sogn"/>
    <s v="Kirkekapel på Vordingborg Gl. Kirkegård"/>
    <s v="Kirke"/>
  </r>
  <r>
    <x v="2"/>
    <x v="31"/>
    <s v="7470"/>
    <s v="Kastrup Sogn"/>
    <s v="Kastrup Kirke"/>
    <s v="Kirke"/>
  </r>
  <r>
    <x v="2"/>
    <x v="31"/>
    <s v="7471"/>
    <s v="Jungshoved Sogn"/>
    <s v="Jungshoved Kirke"/>
    <s v="Kirke"/>
  </r>
  <r>
    <x v="2"/>
    <x v="31"/>
    <s v="7474"/>
    <s v="Bårse Sogn"/>
    <s v="Bårse Kirke"/>
    <s v="Kirke"/>
  </r>
  <r>
    <x v="2"/>
    <x v="31"/>
    <s v="7475"/>
    <s v="Beldringe Sogn"/>
    <s v="Beldringe Kirke"/>
    <s v="Kirke"/>
  </r>
  <r>
    <x v="2"/>
    <x v="31"/>
    <s v="7476"/>
    <s v="Allerslev Sogn"/>
    <s v="Allerslev Kirke"/>
    <s v="Kirke"/>
  </r>
  <r>
    <x v="2"/>
    <x v="31"/>
    <s v="7477"/>
    <s v="Udby Sogn"/>
    <s v="Udby Kirke"/>
    <s v="Kirke"/>
  </r>
  <r>
    <x v="2"/>
    <x v="31"/>
    <s v="7478"/>
    <s v="Ørslev Sogn"/>
    <s v="Ørslev Kirke"/>
    <s v="Kirke"/>
  </r>
  <r>
    <x v="2"/>
    <x v="31"/>
    <s v="7479"/>
    <s v="Øster Egesborg Sogn"/>
    <s v="Øster Egesborg Kirke"/>
    <s v="Kirke"/>
  </r>
  <r>
    <x v="2"/>
    <x v="31"/>
    <s v="7480"/>
    <s v="Mern Sogn"/>
    <s v="Mern Kirke"/>
    <s v="Kirke"/>
  </r>
  <r>
    <x v="2"/>
    <x v="31"/>
    <s v="7481"/>
    <s v="Kalvehave Sogn"/>
    <s v="Kalvehave Kirke"/>
    <s v="Kirke"/>
  </r>
  <r>
    <x v="2"/>
    <x v="31"/>
    <s v="7483"/>
    <s v="Stege Sogn"/>
    <s v="Stege Kirke"/>
    <s v="Kirke"/>
  </r>
  <r>
    <x v="2"/>
    <x v="31"/>
    <s v="7483"/>
    <s v="Stege Sogn"/>
    <s v="Stege Kirkegårds Kapel"/>
    <s v="Kirke"/>
  </r>
  <r>
    <x v="2"/>
    <x v="31"/>
    <s v="7485"/>
    <s v="Nyord Sogn"/>
    <s v="Nyord Kirke"/>
    <s v="Kirke"/>
  </r>
  <r>
    <x v="2"/>
    <x v="31"/>
    <s v="7486"/>
    <s v="Keldby Sogn"/>
    <s v="Keldby Kirke"/>
    <s v="Kirke"/>
  </r>
  <r>
    <x v="2"/>
    <x v="31"/>
    <s v="7487"/>
    <s v="Elmelunde Sogn"/>
    <s v="Elmelunde Kirke"/>
    <s v="Kirke"/>
  </r>
  <r>
    <x v="2"/>
    <x v="31"/>
    <s v="7488"/>
    <s v="Borre Sogn"/>
    <s v="Borre Kirke"/>
    <s v="Kirke"/>
  </r>
  <r>
    <x v="2"/>
    <x v="31"/>
    <s v="7489"/>
    <s v="Magleby Sogn"/>
    <s v="Magleby Kirke"/>
    <s v="Kirke"/>
  </r>
  <r>
    <x v="2"/>
    <x v="31"/>
    <s v="7490"/>
    <s v="Damsholte Sogn"/>
    <s v="Damsholte Kirke"/>
    <s v="Kirke"/>
  </r>
  <r>
    <x v="2"/>
    <x v="31"/>
    <s v="7491"/>
    <s v="Fanefjord Sogn"/>
    <s v="Fanefjord Kirke"/>
    <s v="Kirke"/>
  </r>
  <r>
    <x v="2"/>
    <x v="31"/>
    <s v="7507"/>
    <s v="Lundby Sogn"/>
    <s v="Lundby Kirke"/>
    <s v="Kirke"/>
  </r>
  <r>
    <x v="2"/>
    <x v="31"/>
    <s v="7508"/>
    <s v="Køng Sogn"/>
    <s v="Køng Kirke"/>
    <s v="Kirke"/>
  </r>
  <r>
    <x v="2"/>
    <x v="31"/>
    <s v="7509"/>
    <s v="Sværdborg Sogn"/>
    <s v="Sværdborg Kirke"/>
    <s v="Kirke"/>
  </r>
  <r>
    <x v="2"/>
    <x v="31"/>
    <s v="7521"/>
    <s v="Bogø Sogn"/>
    <s v="Bogø Kirke"/>
    <s v="Kirke"/>
  </r>
  <r>
    <x v="2"/>
    <x v="31"/>
    <s v="9109"/>
    <s v="Stensby Sogn"/>
    <s v="Stensby Kirke"/>
    <s v="Kirke"/>
  </r>
  <r>
    <x v="2"/>
    <x v="31"/>
    <s v="9247"/>
    <s v="Svinø Sogn"/>
    <s v="Svinø Kirke"/>
    <s v="Kirke"/>
  </r>
  <r>
    <x v="2"/>
    <x v="32"/>
    <s v="7194"/>
    <s v="Greve Sogn"/>
    <s v="Johanneskirken"/>
    <s v="Filialkirke"/>
  </r>
  <r>
    <x v="2"/>
    <x v="32"/>
    <s v="7194"/>
    <s v="Greve Sogn"/>
    <s v="Greve Kirke"/>
    <s v="Kirke"/>
  </r>
  <r>
    <x v="2"/>
    <x v="32"/>
    <s v="7195"/>
    <s v="Hundige-Kildebrønde Sogn"/>
    <s v="Kildebrønde Kirke"/>
    <s v="Kirke"/>
  </r>
  <r>
    <x v="2"/>
    <x v="32"/>
    <s v="7195"/>
    <s v="Hundige-Kildebrønde Sogn"/>
    <s v="Hundige Kirke"/>
    <s v="Filialkirke"/>
  </r>
  <r>
    <x v="2"/>
    <x v="32"/>
    <s v="7199"/>
    <s v="Tune Sogn"/>
    <s v="Tune Kirke"/>
    <s v="Kirke"/>
  </r>
  <r>
    <x v="2"/>
    <x v="32"/>
    <s v="7200"/>
    <s v="Karlslunde Sogn"/>
    <s v="Karlslunde Kirke"/>
    <s v="Kirke"/>
  </r>
  <r>
    <x v="2"/>
    <x v="32"/>
    <s v="7200"/>
    <s v="Karlslunde Sogn"/>
    <s v="Karlslunde Strandkirke"/>
    <s v="Kirkesal"/>
  </r>
  <r>
    <x v="2"/>
    <x v="32"/>
    <s v="7201"/>
    <s v="Karlstrup Sogn"/>
    <s v="Karlstrup Kirke"/>
    <s v="Kirke"/>
  </r>
  <r>
    <x v="2"/>
    <x v="32"/>
    <s v="7202"/>
    <s v="Havdrup Sogn"/>
    <s v="Havdrup Kirke"/>
    <s v="Kirke"/>
  </r>
  <r>
    <x v="2"/>
    <x v="32"/>
    <s v="7202"/>
    <s v="Havdrup Sogn"/>
    <s v="Havdrup Sognehus"/>
    <s v="Kirke"/>
  </r>
  <r>
    <x v="2"/>
    <x v="32"/>
    <s v="7203"/>
    <s v="Solrød Sogn"/>
    <s v="Solrød Kirke"/>
    <s v="Kirke"/>
  </r>
  <r>
    <x v="2"/>
    <x v="32"/>
    <s v="7203"/>
    <s v="Solrød Sogn"/>
    <s v="Solrød Strandkirke"/>
    <s v="Filialkirke"/>
  </r>
  <r>
    <x v="2"/>
    <x v="32"/>
    <s v="7204"/>
    <s v="Jersie Sogn"/>
    <s v="Jersie Kirke"/>
    <s v="Kirke"/>
  </r>
  <r>
    <x v="2"/>
    <x v="32"/>
    <s v="7204"/>
    <s v="Jersie Sogn"/>
    <s v="Jersie Sognehus"/>
    <s v="Kirke"/>
  </r>
  <r>
    <x v="2"/>
    <x v="32"/>
    <s v="7205"/>
    <s v="Kirke Skensved Sogn"/>
    <s v="Kirke Skensved kirke"/>
    <s v="Kirke"/>
  </r>
  <r>
    <x v="2"/>
    <x v="32"/>
    <s v="9105"/>
    <s v="Karlslunde Strandsogn"/>
    <s v="Karlslunde Strandkirke"/>
    <s v="Kirke"/>
  </r>
  <r>
    <x v="2"/>
    <x v="32"/>
    <s v="9108"/>
    <s v="Mosede Sogn"/>
    <s v="Mosede Kirke"/>
    <s v="Kirke"/>
  </r>
  <r>
    <x v="2"/>
    <x v="33"/>
    <s v="7233"/>
    <s v="Havrebjerg Sogn"/>
    <s v="Havrebjerg Valgmenighedskirke"/>
    <s v="Kirkesal"/>
  </r>
  <r>
    <x v="2"/>
    <x v="33"/>
    <s v="7233"/>
    <s v="Havrebjerg Sogn"/>
    <s v="Havrebjerg Kirke"/>
    <s v="Kirke"/>
  </r>
  <r>
    <x v="2"/>
    <x v="33"/>
    <s v="7308"/>
    <s v="Skælskør Sogn"/>
    <s v="Sankt Nicolai Kirke"/>
    <s v="Kirke"/>
  </r>
  <r>
    <x v="2"/>
    <x v="33"/>
    <s v="7309"/>
    <s v="Eggeslevmagle Sogn"/>
    <s v="Eggeslevmagle Kirke"/>
    <s v="Kirke"/>
  </r>
  <r>
    <x v="2"/>
    <x v="33"/>
    <s v="7310"/>
    <s v="Høve Sogn"/>
    <s v="Høve Valgmenighedskirke"/>
    <s v="Kirkesal"/>
  </r>
  <r>
    <x v="2"/>
    <x v="33"/>
    <s v="7310"/>
    <s v="Høve Sogn"/>
    <s v="Høve Kirke"/>
    <s v="Kirke"/>
  </r>
  <r>
    <x v="2"/>
    <x v="33"/>
    <s v="7311"/>
    <s v="Flakkebjerg Sogn"/>
    <s v="Flakkebjerg Kirke"/>
    <s v="Kirke"/>
  </r>
  <r>
    <x v="2"/>
    <x v="33"/>
    <s v="7312"/>
    <s v="Skørpinge Sogn"/>
    <s v="Skørpinge Kirke"/>
    <s v="Kirke"/>
  </r>
  <r>
    <x v="2"/>
    <x v="33"/>
    <s v="7313"/>
    <s v="Fårdrup Sogn"/>
    <s v="Fårdrup Kirke"/>
    <s v="Kirke"/>
  </r>
  <r>
    <x v="2"/>
    <x v="33"/>
    <s v="7314"/>
    <s v="Sørbymagle Sogn"/>
    <s v="Sørbymagle Kirke"/>
    <s v="Kirke"/>
  </r>
  <r>
    <x v="2"/>
    <x v="33"/>
    <s v="7315"/>
    <s v="Kirkerup Sogn"/>
    <s v="Kirkerup Kirke"/>
    <s v="Kirke"/>
  </r>
  <r>
    <x v="2"/>
    <x v="33"/>
    <s v="7316"/>
    <s v="Gimlinge Sogn"/>
    <s v="Gimlinge Kirke"/>
    <s v="Kirke"/>
  </r>
  <r>
    <x v="2"/>
    <x v="33"/>
    <s v="7319"/>
    <s v="Hyllested Sogn"/>
    <s v="Hyllested Kirke"/>
    <s v="Kirke"/>
  </r>
  <r>
    <x v="2"/>
    <x v="33"/>
    <s v="7320"/>
    <s v="Venslev Sogn"/>
    <s v="Venslev Kirke"/>
    <s v="Kirke"/>
  </r>
  <r>
    <x v="2"/>
    <x v="33"/>
    <s v="7321"/>
    <s v="Holsteinborg Sogn"/>
    <s v="Holsteinborg Kirke"/>
    <s v="Kirke"/>
  </r>
  <r>
    <x v="2"/>
    <x v="33"/>
    <s v="7322"/>
    <s v="Ørslev Sogn"/>
    <s v="Ørslev Kirke"/>
    <s v="Kirke"/>
  </r>
  <r>
    <x v="2"/>
    <x v="33"/>
    <s v="7323"/>
    <s v="Sønder Bjerge Sogn"/>
    <s v="Sønder Bjerge Kirke"/>
    <s v="Kirke"/>
  </r>
  <r>
    <x v="2"/>
    <x v="33"/>
    <s v="7324"/>
    <s v="Tjæreby Sogn"/>
    <s v="Tjæreby Kirke"/>
    <s v="Kirke"/>
  </r>
  <r>
    <x v="2"/>
    <x v="33"/>
    <s v="7325"/>
    <s v="Magleby Sogn"/>
    <s v="Magleby Kirke"/>
    <s v="Kirke"/>
  </r>
  <r>
    <x v="2"/>
    <x v="33"/>
    <s v="7326"/>
    <s v="Agersø Sogn"/>
    <s v="Agersø Kirke"/>
    <s v="Kirke"/>
  </r>
  <r>
    <x v="2"/>
    <x v="33"/>
    <s v="7327"/>
    <s v="Omø Sogn"/>
    <s v="Omø Kirke"/>
    <s v="Kirke"/>
  </r>
  <r>
    <x v="2"/>
    <x v="33"/>
    <s v="7345"/>
    <s v="Sankt Mikkels Sogn"/>
    <s v="Sct. Mikkels Kapel"/>
    <s v="Kirke"/>
  </r>
  <r>
    <x v="2"/>
    <x v="33"/>
    <s v="7345"/>
    <s v="Sankt Mikkels Sogn"/>
    <s v="Sankt Mikkels Kirke"/>
    <s v="Kirke"/>
  </r>
  <r>
    <x v="2"/>
    <x v="33"/>
    <s v="7346"/>
    <s v="Hejninge Sogn"/>
    <s v="Hejninge Kirke"/>
    <s v="Kirke"/>
  </r>
  <r>
    <x v="2"/>
    <x v="33"/>
    <s v="7347"/>
    <s v="Sankt Peders Sogn"/>
    <s v="Sankt Peders Kirke"/>
    <s v="Kirke"/>
  </r>
  <r>
    <x v="2"/>
    <x v="33"/>
    <s v="7347"/>
    <s v="Sankt Peders Sogn"/>
    <s v="Helligåndskirken"/>
    <s v="Filialkirke"/>
  </r>
  <r>
    <x v="2"/>
    <x v="33"/>
    <s v="7347"/>
    <s v="Sankt Peders Sogn"/>
    <s v="Sct. Peders Kapel"/>
    <s v="Kirke"/>
  </r>
  <r>
    <x v="2"/>
    <x v="33"/>
    <s v="7348"/>
    <s v="Sankt Povls Sogn"/>
    <s v="Sankt Povls Kirke"/>
    <s v="Kirke"/>
  </r>
  <r>
    <x v="2"/>
    <x v="33"/>
    <s v="7348"/>
    <s v="Sankt Povls Sogn"/>
    <s v="Korsør Kirkegårdskapel"/>
    <s v="Kirke"/>
  </r>
  <r>
    <x v="2"/>
    <x v="33"/>
    <s v="7349"/>
    <s v="Tårnborg Sogn"/>
    <s v="Tårnborg Kirke"/>
    <s v="Kirke"/>
  </r>
  <r>
    <x v="2"/>
    <x v="33"/>
    <s v="7350"/>
    <s v="Sønderup Sogn"/>
    <s v="Sønderup Kirke"/>
    <s v="Kirke"/>
  </r>
  <r>
    <x v="2"/>
    <x v="33"/>
    <s v="7351"/>
    <s v="Nordrupvester Sogn"/>
    <s v="Nordrup Kirke"/>
    <s v="Kirke"/>
  </r>
  <r>
    <x v="2"/>
    <x v="33"/>
    <s v="7352"/>
    <s v="Gudum Sogn"/>
    <s v="Gudum Kirke"/>
    <s v="Kirke"/>
  </r>
  <r>
    <x v="2"/>
    <x v="33"/>
    <s v="7353"/>
    <s v="Sorterup Sogn"/>
    <s v="Sorterup Kirke"/>
    <s v="Kirke"/>
  </r>
  <r>
    <x v="2"/>
    <x v="33"/>
    <s v="7354"/>
    <s v="Ottestrup Sogn"/>
    <s v="Ottestrup Kirke"/>
    <s v="Kirke"/>
  </r>
  <r>
    <x v="2"/>
    <x v="33"/>
    <s v="7355"/>
    <s v="Slots Bjergby Sogn"/>
    <s v="Slots Bjergby Kirke"/>
    <s v="Kirke"/>
  </r>
  <r>
    <x v="2"/>
    <x v="33"/>
    <s v="7356"/>
    <s v="Sludstrup Sogn"/>
    <s v="Sludstrup Kirke"/>
    <s v="Kirke"/>
  </r>
  <r>
    <x v="2"/>
    <x v="33"/>
    <s v="7357"/>
    <s v="Lundforlund Sogn"/>
    <s v="Lundforlund Kirke"/>
    <s v="Kirke"/>
  </r>
  <r>
    <x v="2"/>
    <x v="33"/>
    <s v="7358"/>
    <s v="Gerlev Sogn"/>
    <s v="Gerlev Kirke"/>
    <s v="Kirke"/>
  </r>
  <r>
    <x v="2"/>
    <x v="33"/>
    <s v="7359"/>
    <s v="Kirke Stillinge Sogn"/>
    <s v="Stillinge Kirke"/>
    <s v="Kirke"/>
  </r>
  <r>
    <x v="2"/>
    <x v="33"/>
    <s v="7360"/>
    <s v="Vemmelev Sogn"/>
    <s v="Vemmelev Kirke"/>
    <s v="Kirke"/>
  </r>
  <r>
    <x v="2"/>
    <x v="33"/>
    <s v="7361"/>
    <s v="Hemmeshøj Sogn"/>
    <s v="Hemmeshøj Kirke"/>
    <s v="Kirke"/>
  </r>
  <r>
    <x v="2"/>
    <x v="33"/>
    <s v="7362"/>
    <s v="Boeslunde Sogn"/>
    <s v="Boeslunde Kirke"/>
    <s v="Kirke"/>
  </r>
  <r>
    <x v="2"/>
    <x v="33"/>
    <s v="7385"/>
    <s v="Kindertofte Sogn"/>
    <s v="Kindertofte Kirke"/>
    <s v="Kirke"/>
  </r>
  <r>
    <x v="2"/>
    <x v="33"/>
    <s v="9070"/>
    <s v="Halskov Sogn"/>
    <s v="Halskov Kirke"/>
    <s v="Kirke"/>
  </r>
  <r>
    <x v="2"/>
    <x v="33"/>
    <s v="9144"/>
    <s v="Nørrevang Sogn"/>
    <s v="Nørrevangskirken"/>
    <s v="Kirke"/>
  </r>
  <r>
    <x v="2"/>
    <x v="33"/>
    <s v="9160"/>
    <s v="Antvorskov Sogn"/>
    <s v="Kapellet, Slagelse Sygehus"/>
    <s v="Kirke"/>
  </r>
  <r>
    <x v="2"/>
    <x v="33"/>
    <s v="9160"/>
    <s v="Antvorskov Sogn"/>
    <s v="Antvorskov Kirke"/>
    <s v="Kirke"/>
  </r>
  <r>
    <x v="3"/>
    <x v="34"/>
    <s v="7626"/>
    <s v="Halsted Sogn"/>
    <s v="Halsted Kirke"/>
    <s v="Kirke"/>
  </r>
  <r>
    <x v="3"/>
    <x v="34"/>
    <s v="7627"/>
    <s v="Avnede Sogn"/>
    <s v="Avnede Kirke"/>
    <s v="Kirke"/>
  </r>
  <r>
    <x v="3"/>
    <x v="34"/>
    <s v="7628"/>
    <s v="Vestenskov Sogn"/>
    <s v="Vestenskov Kirke"/>
    <s v="Kirke"/>
  </r>
  <r>
    <x v="3"/>
    <x v="34"/>
    <s v="7629"/>
    <s v="Kappel Sogn"/>
    <s v="Kappel Kirke"/>
    <s v="Kirke"/>
  </r>
  <r>
    <x v="3"/>
    <x v="34"/>
    <s v="7630"/>
    <s v="Dannemare Sogn"/>
    <s v="Dannemare Kirke"/>
    <s v="Kirke"/>
  </r>
  <r>
    <x v="3"/>
    <x v="34"/>
    <s v="7631"/>
    <s v="Tillitse Sogn"/>
    <s v="Tillitse Kirke"/>
    <s v="Kirke"/>
  </r>
  <r>
    <x v="3"/>
    <x v="34"/>
    <s v="7632"/>
    <s v="Gloslunde Sogn"/>
    <s v="Gloslunde Kirke"/>
    <s v="Kirke"/>
  </r>
  <r>
    <x v="3"/>
    <x v="34"/>
    <s v="7633"/>
    <s v="Græshave Sogn"/>
    <s v="Græshave Kirke"/>
    <s v="Kirke"/>
  </r>
  <r>
    <x v="3"/>
    <x v="34"/>
    <s v="7634"/>
    <s v="Landet Sogn"/>
    <s v="Landet Kirke"/>
    <s v="Kirke"/>
  </r>
  <r>
    <x v="3"/>
    <x v="34"/>
    <s v="7635"/>
    <s v="Ryde Sogn"/>
    <s v="Ryde Kirke"/>
    <s v="Kirke"/>
  </r>
  <r>
    <x v="3"/>
    <x v="34"/>
    <s v="7640"/>
    <s v="Vesterborg Sogn"/>
    <s v="Vesterborg Kirke"/>
    <s v="Kirke"/>
  </r>
  <r>
    <x v="3"/>
    <x v="34"/>
    <s v="7641"/>
    <s v="Birket Sogn"/>
    <s v="Birket Kirke"/>
    <s v="Kirke"/>
  </r>
  <r>
    <x v="3"/>
    <x v="34"/>
    <s v="7667"/>
    <s v="Fejø Sogn"/>
    <s v="Fejø Kirke"/>
    <s v="Kirke"/>
  </r>
  <r>
    <x v="3"/>
    <x v="34"/>
    <s v="7668"/>
    <s v="Femø Sogn"/>
    <s v="Femø Kirke"/>
    <s v="Kirke"/>
  </r>
  <r>
    <x v="3"/>
    <x v="34"/>
    <s v="7670"/>
    <s v="Sankt Nikolai Sogn"/>
    <s v="Nakskov Kirkegårdes Kapel"/>
    <s v="Kirke"/>
  </r>
  <r>
    <x v="3"/>
    <x v="34"/>
    <s v="7670"/>
    <s v="Sankt Nikolai Sogn"/>
    <s v="Sankt Nikolai Kirke"/>
    <s v="Kirke"/>
  </r>
  <r>
    <x v="3"/>
    <x v="34"/>
    <s v="7671"/>
    <s v="Branderslev Sogn"/>
    <s v="Branderslev Kirke"/>
    <s v="Kirke"/>
  </r>
  <r>
    <x v="3"/>
    <x v="34"/>
    <s v="7672"/>
    <s v="Stormarks Sogn"/>
    <s v="Stormarkskirken"/>
    <s v="Kirke"/>
  </r>
  <r>
    <x v="3"/>
    <x v="34"/>
    <s v="7673"/>
    <s v="Arninge Sogn"/>
    <s v="Arninge Kirke"/>
    <s v="Kirke"/>
  </r>
  <r>
    <x v="3"/>
    <x v="34"/>
    <s v="7674"/>
    <s v="Sandby Sogn"/>
    <s v="Sandby Kirke"/>
    <s v="Kirke"/>
  </r>
  <r>
    <x v="3"/>
    <x v="34"/>
    <s v="9194"/>
    <s v="Utterslev-Herredskirke-Løjtofte Sogn"/>
    <s v="Utterslev Kirke"/>
    <s v="Kirke"/>
  </r>
  <r>
    <x v="3"/>
    <x v="34"/>
    <s v="9194"/>
    <s v="Utterslev-Herredskirke-Løjtofte Sogn"/>
    <s v="Herredskirke Kirke"/>
    <s v="Kirke"/>
  </r>
  <r>
    <x v="3"/>
    <x v="34"/>
    <s v="9194"/>
    <s v="Utterslev-Herredskirke-Løjtofte Sogn"/>
    <s v="Lille Løjtofte Kirke"/>
    <s v="Kirke"/>
  </r>
  <r>
    <x v="3"/>
    <x v="34"/>
    <s v="9195"/>
    <s v="Søllested-Skovlænge-Gurreby Sogn"/>
    <s v="Søllested Kirke"/>
    <s v="Kirke"/>
  </r>
  <r>
    <x v="3"/>
    <x v="34"/>
    <s v="9195"/>
    <s v="Søllested-Skovlænge-Gurreby Sogn"/>
    <s v="Skovlænge Kirke"/>
    <s v="Kirke"/>
  </r>
  <r>
    <x v="3"/>
    <x v="34"/>
    <s v="9195"/>
    <s v="Søllested-Skovlænge-Gurreby Sogn"/>
    <s v="Gurreby Kirke"/>
    <s v="Kirke"/>
  </r>
  <r>
    <x v="3"/>
    <x v="34"/>
    <s v="9248"/>
    <s v="Langø Sogn"/>
    <s v="Langø Kirke"/>
    <s v="Kirke"/>
  </r>
  <r>
    <x v="3"/>
    <x v="34"/>
    <s v="9321"/>
    <s v="Købelev-Vindeby Sogn"/>
    <s v="Vindeby Kirke"/>
    <s v="Kirke"/>
  </r>
  <r>
    <x v="3"/>
    <x v="34"/>
    <s v="9321"/>
    <s v="Købelev-Vindeby Sogn"/>
    <s v="Købelev Kirke"/>
    <s v="Kirke"/>
  </r>
  <r>
    <x v="3"/>
    <x v="34"/>
    <s v="9343"/>
    <s v="Horslunde Sogn"/>
    <s v="Horslunde Kirke"/>
    <s v="Kirke"/>
  </r>
  <r>
    <x v="3"/>
    <x v="34"/>
    <s v="9343"/>
    <s v="Horslunde Sogn"/>
    <s v="Nøbbet Kirke"/>
    <s v="Kirke"/>
  </r>
  <r>
    <x v="3"/>
    <x v="34"/>
    <s v="9343"/>
    <s v="Horslunde Sogn"/>
    <s v="Nordlunde Kirke"/>
    <s v="Kirke"/>
  </r>
  <r>
    <x v="3"/>
    <x v="35"/>
    <s v="7639"/>
    <s v="Stokkemarke Sogn"/>
    <s v="Stokkemarke Kirke"/>
    <s v="Kirke"/>
  </r>
  <r>
    <x v="3"/>
    <x v="35"/>
    <s v="7646"/>
    <s v="Hunseby Sogn"/>
    <s v="Hunseby Kirke"/>
    <s v="Kirke"/>
  </r>
  <r>
    <x v="3"/>
    <x v="35"/>
    <s v="7648"/>
    <s v="Maribo Domsogn"/>
    <s v="Maribo Domkirke"/>
    <s v="Kirke"/>
  </r>
  <r>
    <x v="3"/>
    <x v="35"/>
    <s v="7649"/>
    <s v="Hillested Sogn"/>
    <s v="Hillested Kirke"/>
    <s v="Kirke"/>
  </r>
  <r>
    <x v="3"/>
    <x v="35"/>
    <s v="7650"/>
    <s v="Skørringe Sogn"/>
    <s v="Skørringe Kirke"/>
    <s v="Kirke"/>
  </r>
  <r>
    <x v="3"/>
    <x v="35"/>
    <s v="7659"/>
    <s v="Holeby Sogn"/>
    <s v="Holeby Kirke"/>
    <s v="Kirke"/>
  </r>
  <r>
    <x v="3"/>
    <x v="35"/>
    <s v="7660"/>
    <s v="Bursø Sogn"/>
    <s v="Bursø Kirke"/>
    <s v="Kirke"/>
  </r>
  <r>
    <x v="3"/>
    <x v="35"/>
    <s v="7663"/>
    <s v="Tirsted Sogn"/>
    <s v="Tirsted Kirke"/>
    <s v="Kirke"/>
  </r>
  <r>
    <x v="3"/>
    <x v="35"/>
    <s v="7664"/>
    <s v="Vejleby Sogn"/>
    <s v="Vejleby Kirke"/>
    <s v="Kirke"/>
  </r>
  <r>
    <x v="3"/>
    <x v="35"/>
    <s v="7665"/>
    <s v="Østofte Sogn"/>
    <s v="Østofte Kirke"/>
    <s v="Kirke"/>
  </r>
  <r>
    <x v="3"/>
    <x v="35"/>
    <s v="7666"/>
    <s v="Bandholm Sogn"/>
    <s v="Bandholm Kirke"/>
    <s v="Kirke"/>
  </r>
  <r>
    <x v="3"/>
    <x v="35"/>
    <s v="7669"/>
    <s v="Askø Sogn"/>
    <s v="Askø Kirke"/>
    <s v="Kirke"/>
  </r>
  <r>
    <x v="3"/>
    <x v="35"/>
    <s v="9082"/>
    <s v="Rødbyhavn Sogn"/>
    <s v="Rødbyhavn Kirke"/>
    <s v="Kirke"/>
  </r>
  <r>
    <x v="3"/>
    <x v="35"/>
    <s v="9331"/>
    <s v="Errindlev-Olstrup-Tågerup Sogn"/>
    <s v="Olstrup Kirke"/>
    <s v="Kirke"/>
  </r>
  <r>
    <x v="3"/>
    <x v="35"/>
    <s v="9331"/>
    <s v="Errindlev-Olstrup-Tågerup Sogn"/>
    <s v="Tågerup Kirke"/>
    <s v="Kirke"/>
  </r>
  <r>
    <x v="3"/>
    <x v="35"/>
    <s v="9331"/>
    <s v="Errindlev-Olstrup-Tågerup Sogn"/>
    <s v="Errindlev Kirke"/>
    <s v="Kirke"/>
  </r>
  <r>
    <x v="3"/>
    <x v="35"/>
    <s v="9339"/>
    <s v="Rødby Sogn"/>
    <s v="Nebbelunde Kirke"/>
    <s v="Kirke"/>
  </r>
  <r>
    <x v="3"/>
    <x v="35"/>
    <s v="9339"/>
    <s v="Rødby Sogn"/>
    <s v="Ringsebølle Kirke"/>
    <s v="Kirke"/>
  </r>
  <r>
    <x v="3"/>
    <x v="35"/>
    <s v="9339"/>
    <s v="Rødby Sogn"/>
    <s v="Sædinge Kirke"/>
    <s v="Kirke"/>
  </r>
  <r>
    <x v="3"/>
    <x v="35"/>
    <s v="9339"/>
    <s v="Rødby Sogn"/>
    <s v="Rødby Kirke"/>
    <s v="Kirke"/>
  </r>
  <r>
    <x v="3"/>
    <x v="35"/>
    <s v="9361"/>
    <s v="Fuglse-Krønge-Torslunde Sogn"/>
    <s v="Fuglse Kirke"/>
    <s v="Kirke"/>
  </r>
  <r>
    <x v="3"/>
    <x v="35"/>
    <s v="9361"/>
    <s v="Fuglse-Krønge-Torslunde Sogn"/>
    <s v="Krønge Kirke"/>
    <s v="Kirke"/>
  </r>
  <r>
    <x v="3"/>
    <x v="35"/>
    <s v="9361"/>
    <s v="Fuglse-Krønge-Torslunde Sogn"/>
    <s v="Torslunde Kirke"/>
    <s v="Kirke"/>
  </r>
  <r>
    <x v="3"/>
    <x v="36"/>
    <s v="7593"/>
    <s v="Vigsnæs Sogn"/>
    <s v="Vigsnæs Kirke"/>
    <s v="Kirke"/>
  </r>
  <r>
    <x v="3"/>
    <x v="36"/>
    <s v="7594"/>
    <s v="Majbølle Sogn"/>
    <s v="Majbølle Kirke"/>
    <s v="Kirke"/>
  </r>
  <r>
    <x v="3"/>
    <x v="36"/>
    <s v="7596"/>
    <s v="Toreby Sogn"/>
    <s v="Toreby Kirke"/>
    <s v="Kirke"/>
  </r>
  <r>
    <x v="3"/>
    <x v="36"/>
    <s v="7596"/>
    <s v="Toreby Sogn"/>
    <s v="Sundkirken"/>
    <s v="Filialkirke"/>
  </r>
  <r>
    <x v="3"/>
    <x v="36"/>
    <s v="7599"/>
    <s v="Døllefjelde Sogn"/>
    <s v="Døllefjelde Kirke"/>
    <s v="Kirke"/>
  </r>
  <r>
    <x v="3"/>
    <x v="36"/>
    <s v="7600"/>
    <s v="Musse Sogn"/>
    <s v="Musse Kirke"/>
    <s v="Kirke"/>
  </r>
  <r>
    <x v="3"/>
    <x v="36"/>
    <s v="7601"/>
    <s v="Herritslev Sogn"/>
    <s v="Herritslev Kirke"/>
    <s v="Kirke"/>
  </r>
  <r>
    <x v="3"/>
    <x v="36"/>
    <s v="7642"/>
    <s v="Sakskøbing Sogn"/>
    <s v="Sakskøbing Kapel"/>
    <s v="Kirke"/>
  </r>
  <r>
    <x v="3"/>
    <x v="36"/>
    <s v="7642"/>
    <s v="Sakskøbing Sogn"/>
    <s v="Sakskøbing Kirke"/>
    <s v="Kirke"/>
  </r>
  <r>
    <x v="3"/>
    <x v="36"/>
    <s v="9319"/>
    <s v="Nysted-Vantore Sogn"/>
    <s v="Nysted Kirke"/>
    <s v="Kirke"/>
  </r>
  <r>
    <x v="3"/>
    <x v="36"/>
    <s v="9319"/>
    <s v="Nysted-Vantore Sogn"/>
    <s v="Nysted Kirkegårdskapel"/>
    <s v="Kirke"/>
  </r>
  <r>
    <x v="3"/>
    <x v="36"/>
    <s v="9319"/>
    <s v="Nysted-Vantore Sogn"/>
    <s v="Vantore Kirke"/>
    <s v="Kirke"/>
  </r>
  <r>
    <x v="3"/>
    <x v="36"/>
    <s v="9330"/>
    <s v="Krumsø Sogn"/>
    <s v="Godsted Kirke"/>
    <s v="Kirke"/>
  </r>
  <r>
    <x v="3"/>
    <x v="36"/>
    <s v="9330"/>
    <s v="Krumsø Sogn"/>
    <s v="Vester Ulslev Kirke"/>
    <s v="Kirke"/>
  </r>
  <r>
    <x v="3"/>
    <x v="36"/>
    <s v="9330"/>
    <s v="Krumsø Sogn"/>
    <s v="Øster Ulslev Kirke"/>
    <s v="Kirke"/>
  </r>
  <r>
    <x v="3"/>
    <x v="36"/>
    <s v="9332"/>
    <s v="Slemminge-Fjelde Sogn"/>
    <s v="Slemminge Kirke"/>
    <s v="Kirke"/>
  </r>
  <r>
    <x v="3"/>
    <x v="36"/>
    <s v="9332"/>
    <s v="Slemminge-Fjelde Sogn"/>
    <s v="Fjelde Kirke"/>
    <s v="Kirke"/>
  </r>
  <r>
    <x v="3"/>
    <x v="36"/>
    <s v="9336"/>
    <s v="Kettinge-Bregninge Sogn"/>
    <s v="Bregninge Kirke"/>
    <s v="Kirke"/>
  </r>
  <r>
    <x v="3"/>
    <x v="36"/>
    <s v="9336"/>
    <s v="Kettinge-Bregninge Sogn"/>
    <s v="Kettinge Kirke"/>
    <s v="Kirke"/>
  </r>
  <r>
    <x v="3"/>
    <x v="36"/>
    <s v="9340"/>
    <s v="Radsted-Tårs Sogn"/>
    <s v="Tårs Kirke"/>
    <s v="Kirke"/>
  </r>
  <r>
    <x v="3"/>
    <x v="36"/>
    <s v="9340"/>
    <s v="Radsted-Tårs Sogn"/>
    <s v="Radsted Kirke"/>
    <s v="Kirke"/>
  </r>
  <r>
    <x v="3"/>
    <x v="36"/>
    <s v="9341"/>
    <s v="Våbensted-Engestofte Sogn"/>
    <s v="Våbensted Kirke"/>
    <s v="Kirke"/>
  </r>
  <r>
    <x v="3"/>
    <x v="36"/>
    <s v="9341"/>
    <s v="Våbensted-Engestofte Sogn"/>
    <s v="Engestofte Kirke"/>
    <s v="Kirke"/>
  </r>
  <r>
    <x v="3"/>
    <x v="37"/>
    <s v="7575"/>
    <s v="Ønslev Sogn"/>
    <s v="Ønslev Kirke"/>
    <s v="Kirke"/>
  </r>
  <r>
    <x v="3"/>
    <x v="37"/>
    <s v="7576"/>
    <s v="Eskilstrup Sogn"/>
    <s v="Eskilstrup Kirke"/>
    <s v="Kirke"/>
  </r>
  <r>
    <x v="3"/>
    <x v="37"/>
    <s v="7577"/>
    <s v="Tingsted Sogn"/>
    <s v="Tingsted Kirke"/>
    <s v="Kirke"/>
  </r>
  <r>
    <x v="3"/>
    <x v="37"/>
    <s v="7578"/>
    <s v="Nykøbing F Sogn"/>
    <s v="Klosterkirken"/>
    <s v="Kirke"/>
  </r>
  <r>
    <x v="3"/>
    <x v="37"/>
    <s v="7578"/>
    <s v="Nykøbing F Sogn"/>
    <s v="Lindeskovkirken"/>
    <s v="Filialkirke"/>
  </r>
  <r>
    <x v="3"/>
    <x v="37"/>
    <s v="7578"/>
    <s v="Nykøbing F Sogn"/>
    <s v="Nordre Kirke"/>
    <s v="Filialkirke"/>
  </r>
  <r>
    <x v="3"/>
    <x v="37"/>
    <s v="7578"/>
    <s v="Nykøbing F Sogn"/>
    <s v="Kapellet, Nykøbing F. Sygehus"/>
    <s v="Kirke"/>
  </r>
  <r>
    <x v="3"/>
    <x v="37"/>
    <s v="7578"/>
    <s v="Nykøbing F Sogn"/>
    <s v="Østre Kapel, Nykøbing F. sogn"/>
    <s v="Kirke"/>
  </r>
  <r>
    <x v="3"/>
    <x v="37"/>
    <s v="7579"/>
    <s v="Idestrup Sogn"/>
    <s v="Idestrup Kirke"/>
    <s v="Kirke"/>
  </r>
  <r>
    <x v="3"/>
    <x v="37"/>
    <s v="7580"/>
    <s v="Væggerløse Sogn"/>
    <s v="Væggerløse Kirke"/>
    <s v="Kirke"/>
  </r>
  <r>
    <x v="3"/>
    <x v="37"/>
    <s v="7580"/>
    <s v="Væggerløse Sogn"/>
    <s v="Strandkirken"/>
    <s v="Filialkirke"/>
  </r>
  <r>
    <x v="3"/>
    <x v="37"/>
    <s v="7581"/>
    <s v="Skelby Sogn"/>
    <s v="Skelby Kirke"/>
    <s v="Kirke"/>
  </r>
  <r>
    <x v="3"/>
    <x v="37"/>
    <s v="7582"/>
    <s v="Gedesby Sogn"/>
    <s v="Gedesby Kirke"/>
    <s v="Kirke"/>
  </r>
  <r>
    <x v="3"/>
    <x v="37"/>
    <s v="7583"/>
    <s v="Sønder Kirkeby Sogn"/>
    <s v="Sønder Kirkeby Kirke"/>
    <s v="Kirke"/>
  </r>
  <r>
    <x v="3"/>
    <x v="37"/>
    <s v="7584"/>
    <s v="Sønder Alslev Sogn"/>
    <s v="Sønder Alslev Kirke"/>
    <s v="Kirke"/>
  </r>
  <r>
    <x v="3"/>
    <x v="37"/>
    <s v="7585"/>
    <s v="Karleby Sogn"/>
    <s v="Karleby Kirke"/>
    <s v="Kirke"/>
  </r>
  <r>
    <x v="3"/>
    <x v="37"/>
    <s v="7586"/>
    <s v="Horreby Sogn"/>
    <s v="Horreby Kirke"/>
    <s v="Kirke"/>
  </r>
  <r>
    <x v="3"/>
    <x v="37"/>
    <s v="7587"/>
    <s v="Nørre Ørslev Sogn"/>
    <s v="Nørre Ørslev Kirke"/>
    <s v="Kirke"/>
  </r>
  <r>
    <x v="3"/>
    <x v="37"/>
    <s v="7588"/>
    <s v="Systofte Sogn"/>
    <s v="Systofte Kirke"/>
    <s v="Kirke"/>
  </r>
  <r>
    <x v="3"/>
    <x v="37"/>
    <s v="7589"/>
    <s v="Horbelev Sogn"/>
    <s v="Horbelev Kirke"/>
    <s v="Kirke"/>
  </r>
  <r>
    <x v="3"/>
    <x v="37"/>
    <s v="7590"/>
    <s v="Falkerslev Sogn"/>
    <s v="Falkerslev Kirke"/>
    <s v="Kirke"/>
  </r>
  <r>
    <x v="3"/>
    <x v="37"/>
    <s v="7591"/>
    <s v="Aastrup Sogn"/>
    <s v="Aastrup Kirke"/>
    <s v="Kirke"/>
  </r>
  <r>
    <x v="3"/>
    <x v="37"/>
    <s v="7607"/>
    <s v="Stubbekøbing Sogn"/>
    <s v="Stubbekøbing Kirke"/>
    <s v="Kirke"/>
  </r>
  <r>
    <x v="3"/>
    <x v="37"/>
    <s v="7607"/>
    <s v="Stubbekøbing Sogn"/>
    <s v="Stubbekøbing Kapel"/>
    <s v="Kirke"/>
  </r>
  <r>
    <x v="3"/>
    <x v="37"/>
    <s v="7608"/>
    <s v="Maglebrænde Sogn"/>
    <s v="Maglebrænde Kirke"/>
    <s v="Kirke"/>
  </r>
  <r>
    <x v="3"/>
    <x v="37"/>
    <s v="7611"/>
    <s v="Gundslev Sogn"/>
    <s v="Storstrøm Kirke"/>
    <s v="Kirke"/>
  </r>
  <r>
    <x v="3"/>
    <x v="37"/>
    <s v="7611"/>
    <s v="Gundslev Sogn"/>
    <s v="Gundslev Kirke"/>
    <s v="Kirke"/>
  </r>
  <r>
    <x v="3"/>
    <x v="37"/>
    <s v="7613"/>
    <s v="Nørre Alslev Sogn"/>
    <s v="Nørre Alslev Kirke"/>
    <s v="Kirke"/>
  </r>
  <r>
    <x v="3"/>
    <x v="37"/>
    <s v="7614"/>
    <s v="Nørre Kirkeby Sogn"/>
    <s v="Nørre Kirkeby Kirke"/>
    <s v="Kirke"/>
  </r>
  <r>
    <x v="3"/>
    <x v="37"/>
    <s v="9249"/>
    <s v="Gedser Sogn"/>
    <s v="Gedser Kirke"/>
    <s v="Kirke"/>
  </r>
  <r>
    <x v="3"/>
    <x v="37"/>
    <s v="9318"/>
    <s v="Nordvestfalster Sogn"/>
    <s v="Kippinge Kirke"/>
    <s v="Kirke"/>
  </r>
  <r>
    <x v="3"/>
    <x v="37"/>
    <s v="9318"/>
    <s v="Nordvestfalster Sogn"/>
    <s v="Gyldenbjerg Kirke"/>
    <s v="Filialkirke"/>
  </r>
  <r>
    <x v="3"/>
    <x v="37"/>
    <s v="9318"/>
    <s v="Nordvestfalster Sogn"/>
    <s v="Vålse Kirke"/>
    <s v="Kirke"/>
  </r>
  <r>
    <x v="3"/>
    <x v="37"/>
    <s v="9318"/>
    <s v="Nordvestfalster Sogn"/>
    <s v="Stadager Kirke"/>
    <s v="Kirke"/>
  </r>
  <r>
    <x v="3"/>
    <x v="37"/>
    <s v="9318"/>
    <s v="Nordvestfalster Sogn"/>
    <s v="Brarup Kirke"/>
    <s v="Kirke"/>
  </r>
  <r>
    <x v="3"/>
    <x v="37"/>
    <s v="9318"/>
    <s v="Nordvestfalster Sogn"/>
    <s v="Nørre Vedby Kirke"/>
    <s v="Kirke"/>
  </r>
  <r>
    <x v="3"/>
    <x v="37"/>
    <s v="9357"/>
    <s v="Torkilstrup-Lillebrænde Sogn"/>
    <s v="Lillebrænde Kirke"/>
    <s v="Kirke"/>
  </r>
  <r>
    <x v="3"/>
    <x v="37"/>
    <s v="9357"/>
    <s v="Torkilstrup-Lillebrænde Sogn"/>
    <s v="Torkilstrup Kirke"/>
    <s v="Kirke"/>
  </r>
  <r>
    <x v="4"/>
    <x v="38"/>
    <s v="7774"/>
    <s v="Sankt Knuds Sogn"/>
    <s v="Graabrødre Klosterkirke"/>
    <s v="Kirke"/>
  </r>
  <r>
    <x v="4"/>
    <x v="38"/>
    <s v="7774"/>
    <s v="Sankt Knuds Sogn"/>
    <s v="Sankt Knuds Kirke"/>
    <s v="Kirke"/>
  </r>
  <r>
    <x v="4"/>
    <x v="38"/>
    <s v="7774"/>
    <s v="Sankt Knuds Sogn"/>
    <s v="Odense Valgmenighedskirke"/>
    <s v="Kirke"/>
  </r>
  <r>
    <x v="4"/>
    <x v="38"/>
    <s v="7775"/>
    <s v="Ansgars Sogn"/>
    <s v="Kirkesalen Odense Universitetshospital"/>
    <s v="Kirkesal"/>
  </r>
  <r>
    <x v="4"/>
    <x v="38"/>
    <s v="7775"/>
    <s v="Ansgars Sogn"/>
    <s v="Kirkegårdskapellet"/>
    <s v="Kirke"/>
  </r>
  <r>
    <x v="4"/>
    <x v="38"/>
    <s v="7775"/>
    <s v="Ansgars Sogn"/>
    <s v="OUH Sygehuskapel"/>
    <s v="Kirke"/>
  </r>
  <r>
    <x v="4"/>
    <x v="38"/>
    <s v="7775"/>
    <s v="Ansgars Sogn"/>
    <s v="Ansgars Kirke"/>
    <s v="Kirke"/>
  </r>
  <r>
    <x v="4"/>
    <x v="38"/>
    <s v="7776"/>
    <s v="Bolbro Sogn"/>
    <s v="Bolbro Kirke"/>
    <s v="Kirke"/>
  </r>
  <r>
    <x v="4"/>
    <x v="38"/>
    <s v="7777"/>
    <s v="Thomas Kingos Sogn"/>
    <s v="Thomas Kingos Kirke"/>
    <s v="Kirke"/>
  </r>
  <r>
    <x v="4"/>
    <x v="38"/>
    <s v="7778"/>
    <s v="Munkebjerg Sogn"/>
    <s v="Munkebjerg Kirke"/>
    <s v="Kirke"/>
  </r>
  <r>
    <x v="4"/>
    <x v="38"/>
    <s v="7779"/>
    <s v="Vor Frue Sogn"/>
    <s v="Vor Frue Kirke"/>
    <s v="Kirke"/>
  </r>
  <r>
    <x v="4"/>
    <x v="38"/>
    <s v="7780"/>
    <s v="Korsløkke Sogn"/>
    <s v="Vor Frelsers Kirke"/>
    <s v="Kirke"/>
  </r>
  <r>
    <x v="4"/>
    <x v="38"/>
    <s v="7781"/>
    <s v="Sankt Hans Sogn"/>
    <s v="Sankt Hans Kirke"/>
    <s v="Kirke"/>
  </r>
  <r>
    <x v="4"/>
    <x v="38"/>
    <s v="7782"/>
    <s v="Fredens Sogn"/>
    <s v="Fredens Kirke"/>
    <s v="Kirke"/>
  </r>
  <r>
    <x v="4"/>
    <x v="38"/>
    <s v="7782"/>
    <s v="Fredens Sogn"/>
    <s v="Fredens Kapel"/>
    <s v="Kirke"/>
  </r>
  <r>
    <x v="4"/>
    <x v="38"/>
    <s v="7783"/>
    <s v="Hans Tausens Sogn"/>
    <s v="Hans Tausens Kirke"/>
    <s v="Kirke"/>
  </r>
  <r>
    <x v="4"/>
    <x v="38"/>
    <s v="9093"/>
    <s v="Vollsmose Sogn"/>
    <s v="Vollsmose Kirke"/>
    <s v="Kirke"/>
  </r>
  <r>
    <x v="4"/>
    <x v="39"/>
    <s v="7843"/>
    <s v="Lunde Sogn"/>
    <s v="Lunde Kirke"/>
    <s v="Kirke"/>
  </r>
  <r>
    <x v="4"/>
    <x v="39"/>
    <s v="7848"/>
    <s v="Krogsbølle Sogn"/>
    <s v="Krogsbølle Kirke"/>
    <s v="Kirke"/>
  </r>
  <r>
    <x v="4"/>
    <x v="39"/>
    <s v="7849"/>
    <s v="Nørre Næraa Sogn"/>
    <s v="Nørre Næraa Kirke"/>
    <s v="Kirke"/>
  </r>
  <r>
    <x v="4"/>
    <x v="39"/>
    <s v="7850"/>
    <s v="Bederslev Sogn"/>
    <s v="Bederslev Kirke"/>
    <s v="Kirke"/>
  </r>
  <r>
    <x v="4"/>
    <x v="39"/>
    <s v="7851"/>
    <s v="Klinte Sogn"/>
    <s v="Klinte Kirke"/>
    <s v="Kirke"/>
  </r>
  <r>
    <x v="4"/>
    <x v="39"/>
    <s v="7852"/>
    <s v="Grindløse Sogn"/>
    <s v="Grindløse Kirke"/>
    <s v="Kirke"/>
  </r>
  <r>
    <x v="4"/>
    <x v="39"/>
    <s v="7853"/>
    <s v="Uggerslev Sogn"/>
    <s v="Uggerslev Kirke"/>
    <s v="Kirke"/>
  </r>
  <r>
    <x v="4"/>
    <x v="39"/>
    <s v="7854"/>
    <s v="Nørre Højrup Sogn"/>
    <s v="Nørre Højrup Kirke"/>
    <s v="Kirke"/>
  </r>
  <r>
    <x v="4"/>
    <x v="39"/>
    <s v="7855"/>
    <s v="Skamby Sogn"/>
    <s v="Skamby Kirke"/>
    <s v="Kirke"/>
  </r>
  <r>
    <x v="4"/>
    <x v="39"/>
    <s v="7856"/>
    <s v="Bogense Sogn"/>
    <s v="Sankt Nicolaj Kirke"/>
    <s v="Kirke"/>
  </r>
  <r>
    <x v="4"/>
    <x v="39"/>
    <s v="7857"/>
    <s v="Skovby Sogn"/>
    <s v="Skovby Kirke"/>
    <s v="Kirke"/>
  </r>
  <r>
    <x v="4"/>
    <x v="39"/>
    <s v="7858"/>
    <s v="Ore Sogn"/>
    <s v="Ore Kirke"/>
    <s v="Kirke"/>
  </r>
  <r>
    <x v="4"/>
    <x v="39"/>
    <s v="7859"/>
    <s v="Guldbjerg Sogn"/>
    <s v="Guldbjerg Kirke"/>
    <s v="Kirke"/>
  </r>
  <r>
    <x v="4"/>
    <x v="39"/>
    <s v="7860"/>
    <s v="Nørre Sandager Sogn"/>
    <s v="Nørre Sandager Kirke"/>
    <s v="Kirke"/>
  </r>
  <r>
    <x v="4"/>
    <x v="39"/>
    <s v="7861"/>
    <s v="Ejlby Sogn"/>
    <s v="Ejlby Kirke"/>
    <s v="Kirke"/>
  </r>
  <r>
    <x v="4"/>
    <x v="39"/>
    <s v="7862"/>
    <s v="Melby Sogn"/>
    <s v="Melby Kirke"/>
    <s v="Kirke"/>
  </r>
  <r>
    <x v="4"/>
    <x v="39"/>
    <s v="7863"/>
    <s v="Særslev Sogn"/>
    <s v="Særslev Kirke"/>
    <s v="Kirke"/>
  </r>
  <r>
    <x v="4"/>
    <x v="39"/>
    <s v="7864"/>
    <s v="Hårslev Sogn"/>
    <s v="Hårslev Kirke"/>
    <s v="Kirke"/>
  </r>
  <r>
    <x v="4"/>
    <x v="39"/>
    <s v="7865"/>
    <s v="Vigerslev Sogn"/>
    <s v="Langesø Skovkapel"/>
    <s v="Filialkirke"/>
  </r>
  <r>
    <x v="4"/>
    <x v="39"/>
    <s v="7865"/>
    <s v="Vigerslev Sogn"/>
    <s v="Vigerslev Kirke"/>
    <s v="Kirke"/>
  </r>
  <r>
    <x v="4"/>
    <x v="39"/>
    <s v="7866"/>
    <s v="Veflinge Sogn"/>
    <s v="Veflinge Kirke"/>
    <s v="Kirke"/>
  </r>
  <r>
    <x v="4"/>
    <x v="39"/>
    <s v="7867"/>
    <s v="Søndersø Sogn"/>
    <s v="Søndersø Kirke"/>
    <s v="Kirke"/>
  </r>
  <r>
    <x v="4"/>
    <x v="39"/>
    <s v="7888"/>
    <s v="Norup Sogn"/>
    <s v="Norup Kirke"/>
    <s v="Kirke"/>
  </r>
  <r>
    <x v="4"/>
    <x v="39"/>
    <s v="7888"/>
    <s v="Norup Sogn"/>
    <s v="Hasmark Kirke"/>
    <s v="Filialkirke"/>
  </r>
  <r>
    <x v="4"/>
    <x v="39"/>
    <s v="7889"/>
    <s v="Østrup Sogn"/>
    <s v="Østrup Kirke"/>
    <s v="Kirke"/>
  </r>
  <r>
    <x v="4"/>
    <x v="39"/>
    <s v="7890"/>
    <s v="Skeby Sogn"/>
    <s v="Gerskov Kirke"/>
    <s v="Filialkirke"/>
  </r>
  <r>
    <x v="4"/>
    <x v="39"/>
    <s v="7890"/>
    <s v="Skeby Sogn"/>
    <s v="Skeby Kirke"/>
    <s v="Kirke"/>
  </r>
  <r>
    <x v="4"/>
    <x v="39"/>
    <s v="7891"/>
    <s v="Otterup Sogn"/>
    <s v="Otterup Kirke"/>
    <s v="Kirke"/>
  </r>
  <r>
    <x v="4"/>
    <x v="39"/>
    <s v="7892"/>
    <s v="Hjadstrup Sogn"/>
    <s v="Hjadstrup Kirke"/>
    <s v="Kirke"/>
  </r>
  <r>
    <x v="4"/>
    <x v="39"/>
    <s v="9251"/>
    <s v="Padesø Sogn"/>
    <s v="Padesø Kirke"/>
    <s v="Kirke"/>
  </r>
  <r>
    <x v="4"/>
    <x v="40"/>
    <s v="7760"/>
    <s v="Jordløse Sogn"/>
    <s v="Jordløse Kirke"/>
    <s v="Kirke"/>
  </r>
  <r>
    <x v="4"/>
    <x v="40"/>
    <s v="7793"/>
    <s v="Verninge Sogn"/>
    <s v="Verninge Kirke"/>
    <s v="Kirke"/>
  </r>
  <r>
    <x v="4"/>
    <x v="40"/>
    <s v="7794"/>
    <s v="Tommerup Sogn"/>
    <s v="Tommerup Kirke"/>
    <s v="Kirke"/>
  </r>
  <r>
    <x v="4"/>
    <x v="40"/>
    <s v="7795"/>
    <s v="Brylle Sogn"/>
    <s v="Brylle Kirke"/>
    <s v="Kirke"/>
  </r>
  <r>
    <x v="4"/>
    <x v="40"/>
    <s v="7796"/>
    <s v="Vissenbjerg Sogn"/>
    <s v="Vissenbjerg Kirke"/>
    <s v="Kirke"/>
  </r>
  <r>
    <x v="4"/>
    <x v="40"/>
    <s v="7801"/>
    <s v="Assens Sogn"/>
    <s v="Vor Frue Kirke"/>
    <s v="Kirke"/>
  </r>
  <r>
    <x v="4"/>
    <x v="40"/>
    <s v="7802"/>
    <s v="Bågø Sogn"/>
    <s v="Bågø Kirke"/>
    <s v="Kirke"/>
  </r>
  <r>
    <x v="4"/>
    <x v="40"/>
    <s v="7803"/>
    <s v="Kærum Sogn"/>
    <s v="Kærum Kirke"/>
    <s v="Kirke"/>
  </r>
  <r>
    <x v="4"/>
    <x v="40"/>
    <s v="7804"/>
    <s v="Gamtofte Sogn"/>
    <s v="Gamtofte Kirke"/>
    <s v="Kirke"/>
  </r>
  <r>
    <x v="4"/>
    <x v="40"/>
    <s v="7805"/>
    <s v="Søby Sogn"/>
    <s v="Søby Kirke"/>
    <s v="Kirke"/>
  </r>
  <r>
    <x v="4"/>
    <x v="40"/>
    <s v="7806"/>
    <s v="Turup Sogn"/>
    <s v="Turup Kirke"/>
    <s v="Kirke"/>
  </r>
  <r>
    <x v="4"/>
    <x v="40"/>
    <s v="7807"/>
    <s v="Barløse Sogn"/>
    <s v="Barløse Kirke"/>
    <s v="Kirke"/>
  </r>
  <r>
    <x v="4"/>
    <x v="40"/>
    <s v="7808"/>
    <s v="Sandager Sogn"/>
    <s v="Sandager Kirke"/>
    <s v="Kirke"/>
  </r>
  <r>
    <x v="4"/>
    <x v="40"/>
    <s v="7809"/>
    <s v="Holevad Sogn"/>
    <s v="Holevad Kirke"/>
    <s v="Kirke"/>
  </r>
  <r>
    <x v="4"/>
    <x v="40"/>
    <s v="7811"/>
    <s v="Kerte Sogn"/>
    <s v="Kerte Kirke"/>
    <s v="Kirke"/>
  </r>
  <r>
    <x v="4"/>
    <x v="40"/>
    <s v="7812"/>
    <s v="Skydebjerg Sogn"/>
    <s v="Skydebjerg Kirke"/>
    <s v="Kirke"/>
  </r>
  <r>
    <x v="4"/>
    <x v="40"/>
    <s v="7813"/>
    <s v="Ørsted Sogn"/>
    <s v="Ørsted Kirke"/>
    <s v="Kirke"/>
  </r>
  <r>
    <x v="4"/>
    <x v="40"/>
    <s v="7814"/>
    <s v="Orte Sogn"/>
    <s v="Orte Kirke"/>
    <s v="Kirke"/>
  </r>
  <r>
    <x v="4"/>
    <x v="40"/>
    <s v="7815"/>
    <s v="Søllested Sogn"/>
    <s v="Søllested Kirke"/>
    <s v="Kirke"/>
  </r>
  <r>
    <x v="4"/>
    <x v="40"/>
    <s v="7816"/>
    <s v="Vedtofte Sogn"/>
    <s v="Vedtofte Kirke"/>
    <s v="Kirke"/>
  </r>
  <r>
    <x v="4"/>
    <x v="40"/>
    <s v="7817"/>
    <s v="Glamsbjerg Sogn"/>
    <s v="Glamsbjerg Kirke"/>
    <s v="Kirke"/>
  </r>
  <r>
    <x v="4"/>
    <x v="40"/>
    <s v="7817"/>
    <s v="Glamsbjerg Sogn"/>
    <s v="Køng Kirke"/>
    <s v="Kirke"/>
  </r>
  <r>
    <x v="4"/>
    <x v="40"/>
    <s v="7818"/>
    <s v="Flemløse Sogn"/>
    <s v="Flemløse Kirke"/>
    <s v="Kirke"/>
  </r>
  <r>
    <x v="4"/>
    <x v="40"/>
    <s v="7819"/>
    <s v="Haarby Sogn"/>
    <s v="Løgismose Kapel"/>
    <s v="Kirkesal"/>
  </r>
  <r>
    <x v="4"/>
    <x v="40"/>
    <s v="7819"/>
    <s v="Haarby Sogn"/>
    <s v="Hårby Kirke"/>
    <s v="Kirke"/>
  </r>
  <r>
    <x v="4"/>
    <x v="40"/>
    <s v="7820"/>
    <s v="Dreslette Sogn"/>
    <s v="Dreslette Kirke"/>
    <s v="Kirke"/>
  </r>
  <r>
    <x v="4"/>
    <x v="40"/>
    <s v="7821"/>
    <s v="Sønderby Sogn"/>
    <s v="Sønderby Kirke"/>
    <s v="Kirke"/>
  </r>
  <r>
    <x v="4"/>
    <x v="40"/>
    <s v="7822"/>
    <s v="Helnæs Sogn"/>
    <s v="Helnæs Kirke"/>
    <s v="Kirke"/>
  </r>
  <r>
    <x v="4"/>
    <x v="40"/>
    <s v="7833"/>
    <s v="Rørup Sogn"/>
    <s v="Rørup Kirke"/>
    <s v="Kirke"/>
  </r>
  <r>
    <x v="4"/>
    <x v="40"/>
    <s v="9075"/>
    <s v="Årup Sogn"/>
    <s v="Årup Kirke"/>
    <s v="Kirke"/>
  </r>
  <r>
    <x v="4"/>
    <x v="40"/>
    <s v="9118"/>
    <s v="Broholm Sogn"/>
    <s v="Broholm Kirke"/>
    <s v="Kirke"/>
  </r>
  <r>
    <x v="4"/>
    <x v="41"/>
    <s v="7810"/>
    <s v="Tanderup Sogn"/>
    <s v="Tanderup Kirke"/>
    <s v="Kirke"/>
  </r>
  <r>
    <x v="4"/>
    <x v="41"/>
    <s v="7823"/>
    <s v="Middelfart Sogn"/>
    <s v="Middelfart Kirke, Sankt Nikolaj"/>
    <s v="Kirke"/>
  </r>
  <r>
    <x v="4"/>
    <x v="41"/>
    <s v="7823"/>
    <s v="Middelfart Sogn"/>
    <s v="Middelfart Sygehus"/>
    <s v="Kirkesal"/>
  </r>
  <r>
    <x v="4"/>
    <x v="41"/>
    <s v="7824"/>
    <s v="Kauslunde Sogn"/>
    <s v="Kauslunde Kirke"/>
    <s v="Kirke"/>
  </r>
  <r>
    <x v="4"/>
    <x v="41"/>
    <s v="7825"/>
    <s v="Vejlby Sogn"/>
    <s v="Vejlby Kirke"/>
    <s v="Kirke"/>
  </r>
  <r>
    <x v="4"/>
    <x v="41"/>
    <s v="7826"/>
    <s v="Strib Sogn"/>
    <s v="Strib Kirke"/>
    <s v="Kirke"/>
  </r>
  <r>
    <x v="4"/>
    <x v="41"/>
    <s v="7827"/>
    <s v="Asperup Sogn"/>
    <s v="Asperup Kirke"/>
    <s v="Kirke"/>
  </r>
  <r>
    <x v="4"/>
    <x v="41"/>
    <s v="7828"/>
    <s v="Roerslev Sogn"/>
    <s v="Roerslev Kirke"/>
    <s v="Kirke"/>
  </r>
  <r>
    <x v="4"/>
    <x v="41"/>
    <s v="7829"/>
    <s v="Brenderup Sogn"/>
    <s v="Brenderup Kirke"/>
    <s v="Kirke"/>
  </r>
  <r>
    <x v="4"/>
    <x v="41"/>
    <s v="7830"/>
    <s v="Fjelsted Sogn"/>
    <s v="Fjelsted Kirke"/>
    <s v="Kirke"/>
  </r>
  <r>
    <x v="4"/>
    <x v="41"/>
    <s v="7831"/>
    <s v="Harndrup Sogn"/>
    <s v="Harndrup Kirke"/>
    <s v="Kirke"/>
  </r>
  <r>
    <x v="4"/>
    <x v="41"/>
    <s v="7832"/>
    <s v="Gelsted Sogn"/>
    <s v="Gelsted Kirke"/>
    <s v="Kirke"/>
  </r>
  <r>
    <x v="4"/>
    <x v="41"/>
    <s v="7834"/>
    <s v="Balslev Sogn"/>
    <s v="Balslev Kirke"/>
    <s v="Kirke"/>
  </r>
  <r>
    <x v="4"/>
    <x v="41"/>
    <s v="7835"/>
    <s v="Ejby Sogn"/>
    <s v="Ejby Kirke"/>
    <s v="Kirke"/>
  </r>
  <r>
    <x v="4"/>
    <x v="41"/>
    <s v="7835"/>
    <s v="Ejby Sogn"/>
    <s v="Ejby Kapel"/>
    <s v="Kirke"/>
  </r>
  <r>
    <x v="4"/>
    <x v="41"/>
    <s v="7836"/>
    <s v="Nørre Aaby Sogn"/>
    <s v="Nørre Aaby Kirke"/>
    <s v="Kirke"/>
  </r>
  <r>
    <x v="4"/>
    <x v="41"/>
    <s v="7837"/>
    <s v="Indslev Sogn"/>
    <s v="Indslev Kirke"/>
    <s v="Kirke"/>
  </r>
  <r>
    <x v="4"/>
    <x v="41"/>
    <s v="7838"/>
    <s v="Gamborg Sogn"/>
    <s v="Gamborg Kirke"/>
    <s v="Kirke"/>
  </r>
  <r>
    <x v="4"/>
    <x v="41"/>
    <s v="7839"/>
    <s v="Udby Sogn"/>
    <s v="Udby Kirke"/>
    <s v="Kirke"/>
  </r>
  <r>
    <x v="4"/>
    <x v="41"/>
    <s v="7840"/>
    <s v="Føns Sogn"/>
    <s v="Føns Kirke"/>
    <s v="Kirke"/>
  </r>
  <r>
    <x v="4"/>
    <x v="41"/>
    <s v="7841"/>
    <s v="Ørslev Sogn"/>
    <s v="Ørslev Kirke"/>
    <s v="Kirke"/>
  </r>
  <r>
    <x v="4"/>
    <x v="41"/>
    <s v="7842"/>
    <s v="Husby Sogn"/>
    <s v="Husby Kirke"/>
    <s v="Kirke"/>
  </r>
  <r>
    <x v="4"/>
    <x v="41"/>
    <s v="7842"/>
    <s v="Husby Sogn"/>
    <s v="Wedelsborg Kapel"/>
    <s v="Kirkesal"/>
  </r>
  <r>
    <x v="4"/>
    <x v="41"/>
    <s v="9255"/>
    <s v="Røjleskov Sogn"/>
    <s v="Røjleskov Kirke"/>
    <s v="Kirke"/>
  </r>
  <r>
    <x v="4"/>
    <x v="42"/>
    <s v="7675"/>
    <s v="Vor Frue Sogn"/>
    <s v="Vor Frue Kirke"/>
    <s v="Kirke"/>
  </r>
  <r>
    <x v="4"/>
    <x v="42"/>
    <s v="7676"/>
    <s v="Sankt Nikolaj Sogn"/>
    <s v="Sankt Nikolaj Kirke"/>
    <s v="Kirke"/>
  </r>
  <r>
    <x v="4"/>
    <x v="42"/>
    <s v="7676"/>
    <s v="Sankt Nikolaj Sogn"/>
    <s v="Skole-kirke samarbejde Fyn - SYMF"/>
    <s v="Kirke"/>
  </r>
  <r>
    <x v="4"/>
    <x v="42"/>
    <s v="7676"/>
    <s v="Sankt Nikolaj Sogn"/>
    <s v="Svendborg Kirkegårdskapel"/>
    <s v="Kirke"/>
  </r>
  <r>
    <x v="4"/>
    <x v="42"/>
    <s v="7677"/>
    <s v="Sankt Jørgens Sogn"/>
    <s v="Hospice Sydfyn"/>
    <s v="Kirke"/>
  </r>
  <r>
    <x v="4"/>
    <x v="42"/>
    <s v="7677"/>
    <s v="Sankt Jørgens Sogn"/>
    <s v="Sankt Jørgens Kirke"/>
    <s v="Kirke"/>
  </r>
  <r>
    <x v="4"/>
    <x v="42"/>
    <s v="7678"/>
    <s v="Sørup Sogn"/>
    <s v="Sørup Kirke"/>
    <s v="Kirke"/>
  </r>
  <r>
    <x v="4"/>
    <x v="42"/>
    <s v="7679"/>
    <s v="Skårup Sogn"/>
    <s v="Skårup Kirke"/>
    <s v="Kirke"/>
  </r>
  <r>
    <x v="4"/>
    <x v="42"/>
    <s v="7680"/>
    <s v="Tved Sogn"/>
    <s v="Tved Kirke"/>
    <s v="Kirke"/>
  </r>
  <r>
    <x v="4"/>
    <x v="42"/>
    <s v="7681"/>
    <s v="Egense Sogn"/>
    <s v="Egense Kirke"/>
    <s v="Kirke"/>
  </r>
  <r>
    <x v="4"/>
    <x v="42"/>
    <s v="7682"/>
    <s v="Øster Skerninge Sogn"/>
    <s v="Øster Skerninge Kirke"/>
    <s v="Kirke"/>
  </r>
  <r>
    <x v="4"/>
    <x v="42"/>
    <s v="7683"/>
    <s v="Hundstrup Sogn"/>
    <s v="Hundstrup Kirke"/>
    <s v="Kirke"/>
  </r>
  <r>
    <x v="4"/>
    <x v="42"/>
    <s v="7684"/>
    <s v="Ollerup Sogn"/>
    <s v="Ollerup Kirke"/>
    <s v="Kirke"/>
  </r>
  <r>
    <x v="4"/>
    <x v="42"/>
    <s v="7685"/>
    <s v="Kirkeby Sogn"/>
    <s v="Kirkeby Kirke"/>
    <s v="Kirke"/>
  </r>
  <r>
    <x v="4"/>
    <x v="42"/>
    <s v="7686"/>
    <s v="Stenstrup Sogn"/>
    <s v="Stenstrup Kirke"/>
    <s v="Kirke"/>
  </r>
  <r>
    <x v="4"/>
    <x v="42"/>
    <s v="7687"/>
    <s v="Lunde Sogn"/>
    <s v="Lunde Kirke"/>
    <s v="Kirke"/>
  </r>
  <r>
    <x v="4"/>
    <x v="42"/>
    <s v="7689"/>
    <s v="Thurø Sogn"/>
    <s v="Trefoldighedskirken"/>
    <s v="Kirke"/>
  </r>
  <r>
    <x v="4"/>
    <x v="42"/>
    <s v="7690"/>
    <s v="Bregninge Sogn"/>
    <s v="Bregninge Kirke"/>
    <s v="Kirke"/>
  </r>
  <r>
    <x v="4"/>
    <x v="42"/>
    <s v="7690"/>
    <s v="Bregninge Sogn"/>
    <s v="Valdemars Slots Kirke"/>
    <s v="Kirke"/>
  </r>
  <r>
    <x v="4"/>
    <x v="42"/>
    <s v="7691"/>
    <s v="Landet Sogn"/>
    <s v="Sankt Jørgens Kirke"/>
    <s v="Kirke"/>
  </r>
  <r>
    <x v="4"/>
    <x v="42"/>
    <s v="7692"/>
    <s v="Bjerreby Sogn"/>
    <s v="Sankt Mortens Kirke"/>
    <s v="Kirke"/>
  </r>
  <r>
    <x v="4"/>
    <x v="42"/>
    <s v="7693"/>
    <s v="Drejø Sogn"/>
    <s v="Drejø Kirke"/>
    <s v="Kirke"/>
  </r>
  <r>
    <x v="4"/>
    <x v="42"/>
    <s v="7693"/>
    <s v="Drejø Sogn"/>
    <s v="Skarø Kirke"/>
    <s v="Filialkirke"/>
  </r>
  <r>
    <x v="4"/>
    <x v="42"/>
    <s v="7699"/>
    <s v="Vester Skerninge Sogn"/>
    <s v="Vester Skerninge Kirke"/>
    <s v="Kirke"/>
  </r>
  <r>
    <x v="4"/>
    <x v="42"/>
    <s v="7700"/>
    <s v="Ulbølle Sogn"/>
    <s v="Ulbølle Kirke"/>
    <s v="Kirke"/>
  </r>
  <r>
    <x v="4"/>
    <x v="42"/>
    <s v="7719"/>
    <s v="Oure Sogn"/>
    <s v="Oure Kirke"/>
    <s v="Kirke"/>
  </r>
  <r>
    <x v="4"/>
    <x v="42"/>
    <s v="7720"/>
    <s v="Vejstrup Sogn"/>
    <s v="Vejstrup Valgmenighedskirke"/>
    <s v="Kirke"/>
  </r>
  <r>
    <x v="4"/>
    <x v="42"/>
    <s v="7720"/>
    <s v="Vejstrup Sogn"/>
    <s v="Vejstrup Kirke"/>
    <s v="Kirke"/>
  </r>
  <r>
    <x v="4"/>
    <x v="42"/>
    <s v="7721"/>
    <s v="Gudme Sogn"/>
    <s v="Gudme Kirke"/>
    <s v="Kirke"/>
  </r>
  <r>
    <x v="4"/>
    <x v="42"/>
    <s v="7722"/>
    <s v="Brudager Sogn"/>
    <s v="Brudager Kirke"/>
    <s v="Kirke"/>
  </r>
  <r>
    <x v="4"/>
    <x v="42"/>
    <s v="7723"/>
    <s v="Gudbjerg Sogn"/>
    <s v="Gudbjerg Kirke"/>
    <s v="Kirke"/>
  </r>
  <r>
    <x v="4"/>
    <x v="42"/>
    <s v="7772"/>
    <s v="Hesselager Sogn"/>
    <s v="Hesselager Kirke"/>
    <s v="Kirke"/>
  </r>
  <r>
    <x v="4"/>
    <x v="42"/>
    <s v="9139"/>
    <s v="Fredens Sogn"/>
    <s v="Fredens Kirke"/>
    <s v="Kirke"/>
  </r>
  <r>
    <x v="4"/>
    <x v="42"/>
    <s v="9258"/>
    <s v="Lundeborg Sogn"/>
    <s v="Lundeborg Kirke"/>
    <s v="Kirke"/>
  </r>
  <r>
    <x v="4"/>
    <x v="43"/>
    <s v="7695"/>
    <s v="Fåborg Sogn"/>
    <s v="Helligåndskirken"/>
    <s v="Kirke"/>
  </r>
  <r>
    <x v="4"/>
    <x v="43"/>
    <s v="7696"/>
    <s v="Diernæs Sogn"/>
    <s v="Diernæs Kirke"/>
    <s v="Kirke"/>
  </r>
  <r>
    <x v="4"/>
    <x v="43"/>
    <s v="7697"/>
    <s v="Vester Åby Sogn"/>
    <s v="Vester Åby Kirke"/>
    <s v="Kirke"/>
  </r>
  <r>
    <x v="4"/>
    <x v="43"/>
    <s v="7698"/>
    <s v="Åstrup Sogn"/>
    <s v="Åstrup Kirke"/>
    <s v="Kirke"/>
  </r>
  <r>
    <x v="4"/>
    <x v="43"/>
    <s v="7746"/>
    <s v="Brahetrolleborg Sogn"/>
    <s v="Brahetrolleborg Kirke"/>
    <s v="Kirke"/>
  </r>
  <r>
    <x v="4"/>
    <x v="43"/>
    <s v="7747"/>
    <s v="Krarup Sogn"/>
    <s v="Krarup Kirke"/>
    <s v="Kirke"/>
  </r>
  <r>
    <x v="4"/>
    <x v="43"/>
    <s v="7752"/>
    <s v="Allested Sogn"/>
    <s v="Allested Kirke"/>
    <s v="Kirke"/>
  </r>
  <r>
    <x v="4"/>
    <x v="43"/>
    <s v="7753"/>
    <s v="Vejle Sogn"/>
    <s v="Vejle Kirke"/>
    <s v="Kirke"/>
  </r>
  <r>
    <x v="4"/>
    <x v="43"/>
    <s v="7754"/>
    <s v="Nørre Broby Sogn"/>
    <s v="Nørre Broby Kirke"/>
    <s v="Kirke"/>
  </r>
  <r>
    <x v="4"/>
    <x v="43"/>
    <s v="7755"/>
    <s v="Sønder Broby Sogn"/>
    <s v="Sønder Broby Kirke"/>
    <s v="Kirke"/>
  </r>
  <r>
    <x v="4"/>
    <x v="43"/>
    <s v="7757"/>
    <s v="Øster Hæsinge Sogn"/>
    <s v="Øster Hæsinge Kirke"/>
    <s v="Kirke"/>
  </r>
  <r>
    <x v="4"/>
    <x v="43"/>
    <s v="7758"/>
    <s v="Vester Hæsinge Sogn"/>
    <s v="Vester Hæsinge Kirke"/>
    <s v="Kirke"/>
  </r>
  <r>
    <x v="4"/>
    <x v="43"/>
    <s v="7759"/>
    <s v="Sandholts Lyndelse Sogn"/>
    <s v="Sandholts Lyndelse Kirke"/>
    <s v="Kirke"/>
  </r>
  <r>
    <x v="4"/>
    <x v="43"/>
    <s v="7761"/>
    <s v="Håstrup Sogn"/>
    <s v="Håstrup Kirke"/>
    <s v="Kirke"/>
  </r>
  <r>
    <x v="4"/>
    <x v="43"/>
    <s v="7762"/>
    <s v="Svanninge Sogn"/>
    <s v="Falsled Kirke"/>
    <s v="Filialkirke"/>
  </r>
  <r>
    <x v="4"/>
    <x v="43"/>
    <s v="7762"/>
    <s v="Svanninge Sogn"/>
    <s v="Svanninge Kirke"/>
    <s v="Kirke"/>
  </r>
  <r>
    <x v="4"/>
    <x v="43"/>
    <s v="7763"/>
    <s v="Horne Sogn"/>
    <s v="Horne Kirke"/>
    <s v="Kirke"/>
  </r>
  <r>
    <x v="4"/>
    <x v="43"/>
    <s v="7764"/>
    <s v="Lyø Sogn"/>
    <s v="Damgården"/>
    <s v="Kirke"/>
  </r>
  <r>
    <x v="4"/>
    <x v="43"/>
    <s v="7764"/>
    <s v="Lyø Sogn"/>
    <s v="Lyø Kirke"/>
    <s v="Kirke"/>
  </r>
  <r>
    <x v="4"/>
    <x v="43"/>
    <s v="7765"/>
    <s v="Avernakø Sogn"/>
    <s v="Avernakø Kirke"/>
    <s v="Kirke"/>
  </r>
  <r>
    <x v="4"/>
    <x v="44"/>
    <s v="7784"/>
    <s v="Paarup Sogn"/>
    <s v="Paarup Kirke"/>
    <s v="Kirke"/>
  </r>
  <r>
    <x v="4"/>
    <x v="44"/>
    <s v="7785"/>
    <s v="Korup Sogn"/>
    <s v="Korup Kirke"/>
    <s v="Kirke"/>
  </r>
  <r>
    <x v="4"/>
    <x v="44"/>
    <s v="7786"/>
    <s v="Ubberud Sogn"/>
    <s v="Ubberud Kirke"/>
    <s v="Kirke"/>
  </r>
  <r>
    <x v="4"/>
    <x v="44"/>
    <s v="7787"/>
    <s v="Dalum Sogn"/>
    <s v="Dalum Kirkes Sognehus"/>
    <s v="Kirke"/>
  </r>
  <r>
    <x v="4"/>
    <x v="44"/>
    <s v="7787"/>
    <s v="Dalum Sogn"/>
    <s v="Dalum Kirke"/>
    <s v="Kirke"/>
  </r>
  <r>
    <x v="4"/>
    <x v="44"/>
    <s v="7788"/>
    <s v="Sanderum Sogn"/>
    <s v="Sanderum Kirke"/>
    <s v="Kirke"/>
  </r>
  <r>
    <x v="4"/>
    <x v="44"/>
    <s v="7789"/>
    <s v="Brændekilde Sogn"/>
    <s v="Brændekilde Kirke"/>
    <s v="Kirke"/>
  </r>
  <r>
    <x v="4"/>
    <x v="44"/>
    <s v="7790"/>
    <s v="Bellinge Sogn"/>
    <s v="Bellinge Kirke"/>
    <s v="Kirke"/>
  </r>
  <r>
    <x v="4"/>
    <x v="44"/>
    <s v="7791"/>
    <s v="Stenløse Sogn"/>
    <s v="Stenløse Kirke"/>
    <s v="Kirke"/>
  </r>
  <r>
    <x v="4"/>
    <x v="44"/>
    <s v="7792"/>
    <s v="Fangel Sogn"/>
    <s v="Fangel Kirke"/>
    <s v="Kirke"/>
  </r>
  <r>
    <x v="4"/>
    <x v="44"/>
    <s v="7844"/>
    <s v="Lumby Sogn"/>
    <s v="Lumby Kirke"/>
    <s v="Kirke"/>
  </r>
  <r>
    <x v="4"/>
    <x v="44"/>
    <s v="7845"/>
    <s v="Allesø Sogn"/>
    <s v="Allesø Kirke"/>
    <s v="Kirke"/>
  </r>
  <r>
    <x v="4"/>
    <x v="44"/>
    <s v="7846"/>
    <s v="Næsbyhoved-Broby Sogn"/>
    <s v="Næsbyhoved-Broby Kirke"/>
    <s v="Kirke"/>
  </r>
  <r>
    <x v="4"/>
    <x v="44"/>
    <s v="7847"/>
    <s v="Næsby Sogn"/>
    <s v="Næsby Kirke"/>
    <s v="Kirke"/>
  </r>
  <r>
    <x v="4"/>
    <x v="44"/>
    <s v="7868"/>
    <s v="Agedrup Sogn"/>
    <s v="Agedrup Kirke"/>
    <s v="Kirke"/>
  </r>
  <r>
    <x v="4"/>
    <x v="44"/>
    <s v="7877"/>
    <s v="Seden Sogn"/>
    <s v="Seden Kirke"/>
    <s v="Kirke"/>
  </r>
  <r>
    <x v="4"/>
    <x v="44"/>
    <s v="7878"/>
    <s v="Åsum Sogn"/>
    <s v="Åsum Kirke"/>
    <s v="Kirke"/>
  </r>
  <r>
    <x v="4"/>
    <x v="44"/>
    <s v="7879"/>
    <s v="Fraugde Sogn"/>
    <s v="Fraugde Kirke"/>
    <s v="Kirke"/>
  </r>
  <r>
    <x v="4"/>
    <x v="44"/>
    <s v="7880"/>
    <s v="Allerup Sogn"/>
    <s v="Allerup Kirke"/>
    <s v="Kirke"/>
  </r>
  <r>
    <x v="4"/>
    <x v="44"/>
    <s v="7881"/>
    <s v="Davinde Sogn"/>
    <s v="Davinde Kirke"/>
    <s v="Kirke"/>
  </r>
  <r>
    <x v="4"/>
    <x v="44"/>
    <s v="7886"/>
    <s v="Højby Sogn"/>
    <s v="Højby Kirke"/>
    <s v="Kirke"/>
  </r>
  <r>
    <x v="4"/>
    <x v="44"/>
    <s v="9131"/>
    <s v="Hjallese Sogn"/>
    <s v="Hjallese Kirke"/>
    <s v="Kirke"/>
  </r>
  <r>
    <x v="4"/>
    <x v="44"/>
    <s v="9142"/>
    <s v="Dyrup Sogn"/>
    <s v="Dyrup Kirke"/>
    <s v="Kirke"/>
  </r>
  <r>
    <x v="4"/>
    <x v="44"/>
    <s v="9148"/>
    <s v="Tornbjerg Sogn"/>
    <s v="Tornbjerg Kirke"/>
    <s v="Kirke"/>
  </r>
  <r>
    <x v="4"/>
    <x v="44"/>
    <s v="9148"/>
    <s v="Tornbjerg Sogn"/>
    <s v="Nyt OUH"/>
    <s v="Kirkesal"/>
  </r>
  <r>
    <x v="4"/>
    <x v="44"/>
    <s v="9252"/>
    <s v="Stige Sogn"/>
    <s v="Stige Kirke"/>
    <s v="Kirke"/>
  </r>
  <r>
    <x v="4"/>
    <x v="44"/>
    <s v="9253"/>
    <s v="Ravnebjerg Sogn"/>
    <s v="Ravnebjerg Kirke"/>
    <s v="Kirke"/>
  </r>
  <r>
    <x v="4"/>
    <x v="45"/>
    <s v="7688"/>
    <s v="Kværndrup Sogn"/>
    <s v="Kværndrup Kirke"/>
    <s v="Kirke"/>
  </r>
  <r>
    <x v="4"/>
    <x v="45"/>
    <s v="7701"/>
    <s v="Heden Sogn"/>
    <s v="Heden Kirke"/>
    <s v="Kirke"/>
  </r>
  <r>
    <x v="4"/>
    <x v="45"/>
    <s v="7737"/>
    <s v="Søllinge Sogn"/>
    <s v="Søllinge Kirke"/>
    <s v="Kirke"/>
  </r>
  <r>
    <x v="4"/>
    <x v="45"/>
    <s v="7738"/>
    <s v="Hellerup Sogn"/>
    <s v="Hellerup Kirke"/>
    <s v="Kirke"/>
  </r>
  <r>
    <x v="4"/>
    <x v="45"/>
    <s v="7739"/>
    <s v="Sønder Højrup Sogn"/>
    <s v="Sønder Højrup Kirke"/>
    <s v="Kirke"/>
  </r>
  <r>
    <x v="4"/>
    <x v="45"/>
    <s v="7740"/>
    <s v="Årslev Sogn"/>
    <s v="Årslev Kirke"/>
    <s v="Kirke"/>
  </r>
  <r>
    <x v="4"/>
    <x v="45"/>
    <s v="7748"/>
    <s v="Herringe Sogn"/>
    <s v="Herringe Kirke"/>
    <s v="Kirke"/>
  </r>
  <r>
    <x v="4"/>
    <x v="45"/>
    <s v="7749"/>
    <s v="Gestelev Sogn"/>
    <s v="Gestelev Kirke"/>
    <s v="Kirke"/>
  </r>
  <r>
    <x v="4"/>
    <x v="45"/>
    <s v="7750"/>
    <s v="Espe Sogn"/>
    <s v="Espe Kirke"/>
    <s v="Kirke"/>
  </r>
  <r>
    <x v="4"/>
    <x v="45"/>
    <s v="7751"/>
    <s v="Vantinge Sogn"/>
    <s v="Vantinge Kirke"/>
    <s v="Kirke"/>
  </r>
  <r>
    <x v="4"/>
    <x v="45"/>
    <s v="7756"/>
    <s v="Hillerslev Sogn"/>
    <s v="Hillerslev Kirke"/>
    <s v="Kirke"/>
  </r>
  <r>
    <x v="4"/>
    <x v="45"/>
    <s v="7766"/>
    <s v="Ringe Sogn"/>
    <s v="Ringe Kapel"/>
    <s v="Kirke"/>
  </r>
  <r>
    <x v="4"/>
    <x v="45"/>
    <s v="7766"/>
    <s v="Ringe Sogn"/>
    <s v="Kellerupkirken"/>
    <s v="Fængselskirke"/>
  </r>
  <r>
    <x v="4"/>
    <x v="45"/>
    <s v="7766"/>
    <s v="Ringe Sogn"/>
    <s v="Ringe Kirke"/>
    <s v="Kirke"/>
  </r>
  <r>
    <x v="4"/>
    <x v="45"/>
    <s v="7767"/>
    <s v="Ryslinge Sogn"/>
    <s v="Ryslinge Kirke"/>
    <s v="Kirke"/>
  </r>
  <r>
    <x v="4"/>
    <x v="45"/>
    <s v="7767"/>
    <s v="Ryslinge Sogn"/>
    <s v="Nazarethkirken, Ryslinge"/>
    <s v="Kirkesal"/>
  </r>
  <r>
    <x v="4"/>
    <x v="45"/>
    <s v="7768"/>
    <s v="Gislev Sogn"/>
    <s v="Gislev Kirke"/>
    <s v="Kirke"/>
  </r>
  <r>
    <x v="4"/>
    <x v="45"/>
    <s v="7883"/>
    <s v="Rolfsted Sogn"/>
    <s v="Rolfsted Kirke"/>
    <s v="Kirke"/>
  </r>
  <r>
    <x v="4"/>
    <x v="45"/>
    <s v="7884"/>
    <s v="Sønder Nærå Sogn"/>
    <s v="Sankt Mikaels Kirke"/>
    <s v="Kirke"/>
  </r>
  <r>
    <x v="4"/>
    <x v="45"/>
    <s v="7884"/>
    <s v="Sønder Nærå Sogn"/>
    <s v="Sdr. Nærå Valgmenighedskirke"/>
    <s v="Kirkesal"/>
  </r>
  <r>
    <x v="4"/>
    <x v="45"/>
    <s v="7885"/>
    <s v="Nørre Lyndelse Sogn"/>
    <s v="Nørre Lyndelse Kirke"/>
    <s v="Kirke"/>
  </r>
  <r>
    <x v="4"/>
    <x v="45"/>
    <s v="7887"/>
    <s v="Nørre Søby Sogn"/>
    <s v="Nørre Søby Kirke"/>
    <s v="Kirke"/>
  </r>
  <r>
    <x v="4"/>
    <x v="45"/>
    <s v="7887"/>
    <s v="Nørre Søby Sogn"/>
    <s v="Nørre Søby Kapel"/>
    <s v="Kirke"/>
  </r>
  <r>
    <x v="4"/>
    <x v="46"/>
    <s v="7694"/>
    <s v="Strynø Sogn"/>
    <s v="Strynø Kirke"/>
    <s v="Kirke"/>
  </r>
  <r>
    <x v="4"/>
    <x v="46"/>
    <s v="7702"/>
    <s v="Bøstrup Sogn"/>
    <s v="Bøstrup Kirke"/>
    <s v="Kirke"/>
  </r>
  <r>
    <x v="4"/>
    <x v="46"/>
    <s v="7703"/>
    <s v="Snøde Sogn"/>
    <s v="Snøde Kirke"/>
    <s v="Kirke"/>
  </r>
  <r>
    <x v="4"/>
    <x v="46"/>
    <s v="7704"/>
    <s v="Stoense Sogn"/>
    <s v="Stoense Kirke"/>
    <s v="Kirke"/>
  </r>
  <r>
    <x v="4"/>
    <x v="46"/>
    <s v="7705"/>
    <s v="Hou Sogn"/>
    <s v="Hou Kirke"/>
    <s v="Kirke"/>
  </r>
  <r>
    <x v="4"/>
    <x v="46"/>
    <s v="7706"/>
    <s v="Longelse Sogn"/>
    <s v="Longelse Kirke"/>
    <s v="Kirke"/>
  </r>
  <r>
    <x v="4"/>
    <x v="46"/>
    <s v="7707"/>
    <s v="Fuglsbølle Sogn"/>
    <s v="Fuglsbølle Kirke"/>
    <s v="Kirke"/>
  </r>
  <r>
    <x v="4"/>
    <x v="46"/>
    <s v="7708"/>
    <s v="Lindelse Sogn"/>
    <s v="Lindelse Kirke"/>
    <s v="Kirke"/>
  </r>
  <r>
    <x v="4"/>
    <x v="46"/>
    <s v="7709"/>
    <s v="Humble Sogn"/>
    <s v="Ristinge Kirke"/>
    <s v="Filialkirke"/>
  </r>
  <r>
    <x v="4"/>
    <x v="46"/>
    <s v="7709"/>
    <s v="Humble Sogn"/>
    <s v="Kædeby Kirke"/>
    <s v="Filialkirke"/>
  </r>
  <r>
    <x v="4"/>
    <x v="46"/>
    <s v="7709"/>
    <s v="Humble Sogn"/>
    <s v="Humble Kirke"/>
    <s v="Kirke"/>
  </r>
  <r>
    <x v="4"/>
    <x v="46"/>
    <s v="7710"/>
    <s v="Tryggelev Sogn"/>
    <s v="Tryggelev Kirke"/>
    <s v="Kirke"/>
  </r>
  <r>
    <x v="4"/>
    <x v="46"/>
    <s v="7711"/>
    <s v="Fodslette Sogn"/>
    <s v="Fodslette Kirke"/>
    <s v="Kirke"/>
  </r>
  <r>
    <x v="4"/>
    <x v="46"/>
    <s v="7712"/>
    <s v="Magleby Sogn"/>
    <s v="Magleby Kirke"/>
    <s v="Kirke"/>
  </r>
  <r>
    <x v="4"/>
    <x v="46"/>
    <s v="7713"/>
    <s v="Ærøskøbing Sogn"/>
    <s v="Ærøskøbing Sygehuskapel"/>
    <s v="Kirke"/>
  </r>
  <r>
    <x v="4"/>
    <x v="46"/>
    <s v="7713"/>
    <s v="Ærøskøbing Sogn"/>
    <s v="Ærøskøbing Kirke"/>
    <s v="Kirke"/>
  </r>
  <r>
    <x v="4"/>
    <x v="46"/>
    <s v="7714"/>
    <s v="Marstal Sogn"/>
    <s v="Ommel Kirke"/>
    <s v="Filialkirke"/>
  </r>
  <r>
    <x v="4"/>
    <x v="46"/>
    <s v="7714"/>
    <s v="Marstal Sogn"/>
    <s v="Marstal Kirke"/>
    <s v="Kirke"/>
  </r>
  <r>
    <x v="4"/>
    <x v="46"/>
    <s v="7714"/>
    <s v="Marstal Sogn"/>
    <s v="Marstal Kirkegårds Kapel"/>
    <s v="Kirke"/>
  </r>
  <r>
    <x v="4"/>
    <x v="46"/>
    <s v="7715"/>
    <s v="Rise Sogn"/>
    <s v="Rise Kirke"/>
    <s v="Kirke"/>
  </r>
  <r>
    <x v="4"/>
    <x v="46"/>
    <s v="7716"/>
    <s v="Tranderup Sogn"/>
    <s v="Tranderup Kirke"/>
    <s v="Kirke"/>
  </r>
  <r>
    <x v="4"/>
    <x v="46"/>
    <s v="7717"/>
    <s v="Bregninge Sogn"/>
    <s v="Bregninge Kirke"/>
    <s v="Kirke"/>
  </r>
  <r>
    <x v="4"/>
    <x v="46"/>
    <s v="7718"/>
    <s v="Søby Sogn"/>
    <s v="Søby Kirke"/>
    <s v="Kirke"/>
  </r>
  <r>
    <x v="4"/>
    <x v="46"/>
    <s v="7741"/>
    <s v="Rudkøbing Sogn"/>
    <s v="Rudkøbing Kirke"/>
    <s v="Kirke"/>
  </r>
  <r>
    <x v="4"/>
    <x v="46"/>
    <s v="7741"/>
    <s v="Rudkøbing Sogn"/>
    <s v="Rudkøbing Bykapel"/>
    <s v="Kirke"/>
  </r>
  <r>
    <x v="4"/>
    <x v="46"/>
    <s v="7742"/>
    <s v="Simmerbølle Sogn"/>
    <s v="Simmerbølle Kirke"/>
    <s v="Kirke"/>
  </r>
  <r>
    <x v="4"/>
    <x v="46"/>
    <s v="7743"/>
    <s v="Skrøbelev Sogn"/>
    <s v="Skrøbelev Kirke"/>
    <s v="Kirke"/>
  </r>
  <r>
    <x v="4"/>
    <x v="46"/>
    <s v="7744"/>
    <s v="Tranekær Sogn"/>
    <s v="Tranekær Kirke"/>
    <s v="Kirke"/>
  </r>
  <r>
    <x v="4"/>
    <x v="46"/>
    <s v="7745"/>
    <s v="Tullebølle Sogn"/>
    <s v="Tullebølle Kirke"/>
    <s v="Kirke"/>
  </r>
  <r>
    <x v="4"/>
    <x v="46"/>
    <s v="9254"/>
    <s v="Bagenkop Sogn"/>
    <s v="Bagenkop Kirke"/>
    <s v="Kirke"/>
  </r>
  <r>
    <x v="4"/>
    <x v="47"/>
    <s v="7724"/>
    <s v="Nyborg Sogn"/>
    <s v="Vor Frue Kirke"/>
    <s v="Kirke"/>
  </r>
  <r>
    <x v="4"/>
    <x v="47"/>
    <s v="7724"/>
    <s v="Nyborg Sogn"/>
    <s v="Nyborg Kirkegårdskapel"/>
    <s v="Kirke"/>
  </r>
  <r>
    <x v="4"/>
    <x v="47"/>
    <s v="7724"/>
    <s v="Nyborg Sogn"/>
    <s v="Stensgaards Kirke"/>
    <s v="Fængselskirke"/>
  </r>
  <r>
    <x v="4"/>
    <x v="47"/>
    <s v="7725"/>
    <s v="Aunslev Sogn"/>
    <s v="Aunslev Kirke"/>
    <s v="Kirke"/>
  </r>
  <r>
    <x v="4"/>
    <x v="47"/>
    <s v="7726"/>
    <s v="Bovense Sogn"/>
    <s v="Bovense Kirke"/>
    <s v="Kirke"/>
  </r>
  <r>
    <x v="4"/>
    <x v="47"/>
    <s v="7727"/>
    <s v="Flødstrup Sogn"/>
    <s v="Vor Frue Kirke"/>
    <s v="Kirke"/>
  </r>
  <r>
    <x v="4"/>
    <x v="47"/>
    <s v="7728"/>
    <s v="Ullerslev Sogn"/>
    <s v="Ullerslev Kirke"/>
    <s v="Kirke"/>
  </r>
  <r>
    <x v="4"/>
    <x v="47"/>
    <s v="7731"/>
    <s v="Kullerup Sogn"/>
    <s v="Kullerup Kirke"/>
    <s v="Kirke"/>
  </r>
  <r>
    <x v="4"/>
    <x v="47"/>
    <s v="7732"/>
    <s v="Refsvindinge Sogn"/>
    <s v="Refsvindinge Kirke"/>
    <s v="Kirke"/>
  </r>
  <r>
    <x v="4"/>
    <x v="47"/>
    <s v="7733"/>
    <s v="Vindinge Sogn"/>
    <s v="Vindinge Kirke"/>
    <s v="Kirke"/>
  </r>
  <r>
    <x v="4"/>
    <x v="47"/>
    <s v="7733"/>
    <s v="Vindinge Sogn"/>
    <s v="Holckenhavn Slotskapel"/>
    <s v="Kirke"/>
  </r>
  <r>
    <x v="4"/>
    <x v="47"/>
    <s v="7734"/>
    <s v="Frørup Sogn"/>
    <s v="Frørup Kirke"/>
    <s v="Kirke"/>
  </r>
  <r>
    <x v="4"/>
    <x v="47"/>
    <s v="7735"/>
    <s v="Ørbæk Sogn"/>
    <s v="Ørbæk Kirke"/>
    <s v="Kirke"/>
  </r>
  <r>
    <x v="4"/>
    <x v="47"/>
    <s v="7736"/>
    <s v="Herrested Sogn"/>
    <s v="Kristi Kapel"/>
    <s v="Kirkesal"/>
  </r>
  <r>
    <x v="4"/>
    <x v="47"/>
    <s v="7736"/>
    <s v="Herrested Sogn"/>
    <s v="Herrested Kirke"/>
    <s v="Kirke"/>
  </r>
  <r>
    <x v="4"/>
    <x v="47"/>
    <s v="7769"/>
    <s v="Ellested Sogn"/>
    <s v="Ellested Kirke"/>
    <s v="Kirke"/>
  </r>
  <r>
    <x v="4"/>
    <x v="47"/>
    <s v="7770"/>
    <s v="Langå Sogn"/>
    <s v="Langå Kirke"/>
    <s v="Kirke"/>
  </r>
  <r>
    <x v="4"/>
    <x v="47"/>
    <s v="7771"/>
    <s v="Øksendrup Sogn"/>
    <s v="Øksendrup Kirke"/>
    <s v="Kirke"/>
  </r>
  <r>
    <x v="4"/>
    <x v="47"/>
    <s v="7773"/>
    <s v="Svindinge Sogn"/>
    <s v="Svindinge Kirke"/>
    <s v="Kirke"/>
  </r>
  <r>
    <x v="4"/>
    <x v="47"/>
    <s v="7798"/>
    <s v="Munkebo Sogn"/>
    <s v="Munkebo Kirke"/>
    <s v="Kirke"/>
  </r>
  <r>
    <x v="4"/>
    <x v="47"/>
    <s v="7800"/>
    <s v="Kølstrup Sogn"/>
    <s v="Kølstrup Kirke"/>
    <s v="Kirke"/>
  </r>
  <r>
    <x v="4"/>
    <x v="47"/>
    <s v="7869"/>
    <s v="Marslev Sogn"/>
    <s v="Marslev Kirke"/>
    <s v="Kirke"/>
  </r>
  <r>
    <x v="4"/>
    <x v="47"/>
    <s v="7870"/>
    <s v="Birkende Sogn"/>
    <s v="Birkende Kirke"/>
    <s v="Kirke"/>
  </r>
  <r>
    <x v="4"/>
    <x v="47"/>
    <s v="7871"/>
    <s v="Rynkeby Sogn"/>
    <s v="Rynkeby Kirke"/>
    <s v="Kirke"/>
  </r>
  <r>
    <x v="4"/>
    <x v="47"/>
    <s v="7872"/>
    <s v="Revninge Sogn"/>
    <s v="Revninge Kirke"/>
    <s v="Kirke"/>
  </r>
  <r>
    <x v="4"/>
    <x v="47"/>
    <s v="7873"/>
    <s v="Mesinge Sogn"/>
    <s v="Mesinge Kirke"/>
    <s v="Kirke"/>
  </r>
  <r>
    <x v="4"/>
    <x v="47"/>
    <s v="7874"/>
    <s v="Viby Sogn"/>
    <s v="Viby Kirke"/>
    <s v="Kirke"/>
  </r>
  <r>
    <x v="4"/>
    <x v="47"/>
    <s v="7875"/>
    <s v="Dalby Sogn"/>
    <s v="Dalby Kirke"/>
    <s v="Kirke"/>
  </r>
  <r>
    <x v="4"/>
    <x v="47"/>
    <s v="7875"/>
    <s v="Dalby Sogn"/>
    <s v="Betlehemskirken, Dalby Valgmenighedskirke"/>
    <s v="Kirkesal"/>
  </r>
  <r>
    <x v="4"/>
    <x v="47"/>
    <s v="7876"/>
    <s v="Stubberup Sogn"/>
    <s v="Stubberup Kirke"/>
    <s v="Kirke"/>
  </r>
  <r>
    <x v="4"/>
    <x v="47"/>
    <s v="7882"/>
    <s v="Rønninge Sogn"/>
    <s v="Rønninge Kirke"/>
    <s v="Kirke"/>
  </r>
  <r>
    <x v="4"/>
    <x v="47"/>
    <s v="9256"/>
    <s v="Taarup Sogn"/>
    <s v="Taarup Kirke"/>
    <s v="Kirke"/>
  </r>
  <r>
    <x v="4"/>
    <x v="47"/>
    <s v="9257"/>
    <s v="Hjulby Sogn"/>
    <s v="Hjulby Kirke"/>
    <s v="Kirke"/>
  </r>
  <r>
    <x v="4"/>
    <x v="47"/>
    <s v="9293"/>
    <s v="Kerteminde-Drigstrup Sogn"/>
    <s v="Sankt Laurenti Kirke"/>
    <s v="Kirke"/>
  </r>
  <r>
    <x v="4"/>
    <x v="47"/>
    <s v="9293"/>
    <s v="Kerteminde-Drigstrup Sogn"/>
    <s v="Kerteminde Kirkegårdskapel"/>
    <s v="Kirke"/>
  </r>
  <r>
    <x v="4"/>
    <x v="47"/>
    <s v="9293"/>
    <s v="Kerteminde-Drigstrup Sogn"/>
    <s v="Drigstrup Kirke"/>
    <s v="Kirke"/>
  </r>
  <r>
    <x v="4"/>
    <x v="47"/>
    <s v="9293"/>
    <s v="Kerteminde-Drigstrup Sogn"/>
    <s v="Emauskirken, Kerteminde Valgmenighedskirke"/>
    <s v="Kirkesal"/>
  </r>
  <r>
    <x v="4"/>
    <x v="47"/>
    <s v="9360"/>
    <s v="Skellerup-Ellinge Sogn"/>
    <s v="Ellinge Kirke"/>
    <s v="Kirke"/>
  </r>
  <r>
    <x v="4"/>
    <x v="47"/>
    <s v="9360"/>
    <s v="Skellerup-Ellinge Sogn"/>
    <s v="Skellerup Kirke"/>
    <s v="Kirke"/>
  </r>
  <r>
    <x v="5"/>
    <x v="48"/>
    <s v="8364"/>
    <s v="Budolfi Sogn"/>
    <s v="Klosterkirken"/>
    <s v="Filialkirke"/>
  </r>
  <r>
    <x v="5"/>
    <x v="48"/>
    <s v="8364"/>
    <s v="Budolfi Sogn"/>
    <s v="Budolfi Kirke"/>
    <s v="Kirke"/>
  </r>
  <r>
    <x v="5"/>
    <x v="48"/>
    <s v="8365"/>
    <s v="Ansgars Sogn"/>
    <s v="Almen Kapel, Aalborg"/>
    <s v="Kirke"/>
  </r>
  <r>
    <x v="5"/>
    <x v="48"/>
    <s v="8365"/>
    <s v="Ansgars Sogn"/>
    <s v="Ansgars Kirken"/>
    <s v="Kirke"/>
  </r>
  <r>
    <x v="5"/>
    <x v="48"/>
    <s v="8365"/>
    <s v="Ansgars Sogn"/>
    <s v="Aalborg sygehus syds Kapel"/>
    <s v="Kirke"/>
  </r>
  <r>
    <x v="5"/>
    <x v="48"/>
    <s v="8366"/>
    <s v="Vor Frelsers Sogn"/>
    <s v="Vor Frelsers Kirke"/>
    <s v="Kirke"/>
  </r>
  <r>
    <x v="5"/>
    <x v="48"/>
    <s v="8367"/>
    <s v="Vesterkær Sogn"/>
    <s v="Vesterkær Kirke"/>
    <s v="Kirke"/>
  </r>
  <r>
    <x v="5"/>
    <x v="48"/>
    <s v="8368"/>
    <s v="Vor Frue Sogn"/>
    <s v="Vor Frue Kirke"/>
    <s v="Kirke"/>
  </r>
  <r>
    <x v="5"/>
    <x v="48"/>
    <s v="8369"/>
    <s v="Sankt Markus Sogn"/>
    <s v="Sankt Markus Kirke"/>
    <s v="Kirke"/>
  </r>
  <r>
    <x v="5"/>
    <x v="48"/>
    <s v="8372"/>
    <s v="Vejgaard Sogn"/>
    <s v="Østre Kapel, Aalborg"/>
    <s v="Kirke"/>
  </r>
  <r>
    <x v="5"/>
    <x v="48"/>
    <s v="8372"/>
    <s v="Vejgaard Sogn"/>
    <s v="Vejgård Kirke"/>
    <s v="Kirke"/>
  </r>
  <r>
    <x v="5"/>
    <x v="48"/>
    <s v="8373"/>
    <s v="Hans Egedes Sogn"/>
    <s v="Hans Egede Kirke"/>
    <s v="Kirke"/>
  </r>
  <r>
    <x v="5"/>
    <x v="48"/>
    <s v="8374"/>
    <s v="Hasseris Sogn"/>
    <s v="Hasseris Kirke"/>
    <s v="Kirke"/>
  </r>
  <r>
    <x v="5"/>
    <x v="48"/>
    <s v="9110"/>
    <s v="Margrethe Sogn"/>
    <s v="Margrethekirken"/>
    <s v="Kirke"/>
  </r>
  <r>
    <x v="5"/>
    <x v="48"/>
    <s v="9110"/>
    <s v="Margrethe Sogn"/>
    <s v="Søndre Kapel, Aalborg"/>
    <s v="Kirke"/>
  </r>
  <r>
    <x v="5"/>
    <x v="49"/>
    <s v="8375"/>
    <s v="Nørresundby Sogn"/>
    <s v="Nørresundby Kirkes Kapel"/>
    <s v="Kirke"/>
  </r>
  <r>
    <x v="5"/>
    <x v="49"/>
    <s v="8375"/>
    <s v="Nørresundby Sogn"/>
    <s v="Kirkens Hus Nørresundby"/>
    <s v="Kirke"/>
  </r>
  <r>
    <x v="5"/>
    <x v="49"/>
    <s v="8375"/>
    <s v="Nørresundby Sogn"/>
    <s v="Nørresundby Kirke"/>
    <s v="Kirke"/>
  </r>
  <r>
    <x v="5"/>
    <x v="49"/>
    <s v="8376"/>
    <s v="Hvorup Sogn"/>
    <s v="Nørre Uttrup Kirke"/>
    <s v="Kirke"/>
  </r>
  <r>
    <x v="5"/>
    <x v="49"/>
    <s v="8376"/>
    <s v="Hvorup Sogn"/>
    <s v="Hvorup Kirke"/>
    <s v="Kirke"/>
  </r>
  <r>
    <x v="5"/>
    <x v="49"/>
    <s v="8376"/>
    <s v="Hvorup Sogn"/>
    <s v="Centralkirkegårdens Kapel"/>
    <s v="Kirke"/>
  </r>
  <r>
    <x v="5"/>
    <x v="49"/>
    <s v="8377"/>
    <s v="Lindholm Sogn"/>
    <s v="Løvvangens Kirkecenter"/>
    <s v="Kirke"/>
  </r>
  <r>
    <x v="5"/>
    <x v="49"/>
    <s v="8377"/>
    <s v="Lindholm Sogn"/>
    <s v="Lindholm Kirke"/>
    <s v="Kirke"/>
  </r>
  <r>
    <x v="5"/>
    <x v="49"/>
    <s v="8378"/>
    <s v="Vadum Sogn"/>
    <s v="Vadum Kirke"/>
    <s v="Kirke"/>
  </r>
  <r>
    <x v="5"/>
    <x v="49"/>
    <s v="8378"/>
    <s v="Vadum Sogn"/>
    <s v="Vadum Sognegård"/>
    <s v="Kirke"/>
  </r>
  <r>
    <x v="5"/>
    <x v="49"/>
    <s v="8381"/>
    <s v="Sulsted Sogn"/>
    <s v="Sulsted Kirke"/>
    <s v="Kirke"/>
  </r>
  <r>
    <x v="5"/>
    <x v="49"/>
    <s v="8381"/>
    <s v="Sulsted Sogn"/>
    <s v="Vestbjerg Kirkecenter"/>
    <s v="Kirke"/>
  </r>
  <r>
    <x v="5"/>
    <x v="49"/>
    <s v="8382"/>
    <s v="Ajstrup Sogn"/>
    <s v="Ajstrup Kirke"/>
    <s v="Kirke"/>
  </r>
  <r>
    <x v="5"/>
    <x v="49"/>
    <s v="8383"/>
    <s v="Horsens Sogn"/>
    <s v="Horsens Kirke"/>
    <s v="Kirke"/>
  </r>
  <r>
    <x v="5"/>
    <x v="49"/>
    <s v="8383"/>
    <s v="Horsens Sogn"/>
    <s v="Horsens Kirkes kapel"/>
    <s v="Kirke"/>
  </r>
  <r>
    <x v="5"/>
    <x v="49"/>
    <s v="8384"/>
    <s v="Hammer Sogn"/>
    <s v="Hammer Kirke"/>
    <s v="Kirke"/>
  </r>
  <r>
    <x v="5"/>
    <x v="49"/>
    <s v="8385"/>
    <s v="Vester Hassing Sogn"/>
    <s v="Vester Hassing Kirke"/>
    <s v="Kirke"/>
  </r>
  <r>
    <x v="5"/>
    <x v="49"/>
    <s v="8386"/>
    <s v="Ulsted Sogn"/>
    <s v="Ulsted Kirke"/>
    <s v="Kirke"/>
  </r>
  <r>
    <x v="5"/>
    <x v="49"/>
    <s v="8387"/>
    <s v="Hals Sogn"/>
    <s v="Hals Kirke"/>
    <s v="Kirke"/>
  </r>
  <r>
    <x v="5"/>
    <x v="49"/>
    <s v="9136"/>
    <s v="Vodskov Sogn"/>
    <s v="Vodskov kirkes kapel"/>
    <s v="Kirke"/>
  </r>
  <r>
    <x v="5"/>
    <x v="49"/>
    <s v="9136"/>
    <s v="Vodskov Sogn"/>
    <s v="Vodskov Kirke"/>
    <s v="Kirke"/>
  </r>
  <r>
    <x v="5"/>
    <x v="49"/>
    <s v="9197"/>
    <s v="Øster Hassing-Gåser Sogn"/>
    <s v="Gåser Kirke"/>
    <s v="Kirke"/>
  </r>
  <r>
    <x v="5"/>
    <x v="49"/>
    <s v="9197"/>
    <s v="Øster Hassing-Gåser Sogn"/>
    <s v="Øster Hassing Kirke"/>
    <s v="Kirke"/>
  </r>
  <r>
    <x v="5"/>
    <x v="49"/>
    <s v="9225"/>
    <s v="Hou Sogn"/>
    <s v="Hou Kirke"/>
    <s v="Kirke"/>
  </r>
  <r>
    <x v="5"/>
    <x v="50"/>
    <s v="8276"/>
    <s v="Ejdrup Sogn"/>
    <s v="Ejdrup Kirke"/>
    <s v="Kirke"/>
  </r>
  <r>
    <x v="5"/>
    <x v="50"/>
    <s v="8327"/>
    <s v="Nibe Sogn"/>
    <s v="Nibe Kapel"/>
    <s v="Kirke"/>
  </r>
  <r>
    <x v="5"/>
    <x v="50"/>
    <s v="8327"/>
    <s v="Nibe Sogn"/>
    <s v="Nibe Kirke"/>
    <s v="Kirke"/>
  </r>
  <r>
    <x v="5"/>
    <x v="50"/>
    <s v="8328"/>
    <s v="Vokslev Sogn"/>
    <s v="Vokslev Kirke"/>
    <s v="Kirke"/>
  </r>
  <r>
    <x v="5"/>
    <x v="50"/>
    <s v="8329"/>
    <s v="Sønderholm Sogn"/>
    <s v="Sønderholm Kirke"/>
    <s v="Kirke"/>
  </r>
  <r>
    <x v="5"/>
    <x v="50"/>
    <s v="8330"/>
    <s v="Frejlev Sogn"/>
    <s v="Frejlev Kirke"/>
    <s v="Kirke"/>
  </r>
  <r>
    <x v="5"/>
    <x v="50"/>
    <s v="8331"/>
    <s v="Nørholm Sogn"/>
    <s v="Nørholm Kirke"/>
    <s v="Kirke"/>
  </r>
  <r>
    <x v="5"/>
    <x v="50"/>
    <s v="8332"/>
    <s v="Ellidshøj Sogn"/>
    <s v="Ellidshøj Kirke"/>
    <s v="Kirke"/>
  </r>
  <r>
    <x v="5"/>
    <x v="50"/>
    <s v="8333"/>
    <s v="Svenstrup Sogn"/>
    <s v="Svenstrup Kirke"/>
    <s v="Kirke"/>
  </r>
  <r>
    <x v="5"/>
    <x v="50"/>
    <s v="8342"/>
    <s v="Bislev Sogn"/>
    <s v="Bislev Kirke"/>
    <s v="Kirke"/>
  </r>
  <r>
    <x v="5"/>
    <x v="50"/>
    <s v="8356"/>
    <s v="Sebber Sogn"/>
    <s v="Sebber Kirke"/>
    <s v="Kirke"/>
  </r>
  <r>
    <x v="5"/>
    <x v="50"/>
    <s v="8357"/>
    <s v="Store Ajstrup Sogn"/>
    <s v="Store Ajstrup Kirke"/>
    <s v="Kirke"/>
  </r>
  <r>
    <x v="5"/>
    <x v="50"/>
    <s v="8362"/>
    <s v="Farstrup Sogn"/>
    <s v="Farstrup Kirke"/>
    <s v="Kirke"/>
  </r>
  <r>
    <x v="5"/>
    <x v="50"/>
    <s v="8363"/>
    <s v="Lundby Sogn"/>
    <s v="Lundby Kirke"/>
    <s v="Kirke"/>
  </r>
  <r>
    <x v="5"/>
    <x v="50"/>
    <s v="8388"/>
    <s v="Ferslev Sogn"/>
    <s v="Ferslev Kirke"/>
    <s v="Kirke"/>
  </r>
  <r>
    <x v="5"/>
    <x v="50"/>
    <s v="8389"/>
    <s v="Dall Sogn"/>
    <s v="Dall Kirke"/>
    <s v="Kirke"/>
  </r>
  <r>
    <x v="5"/>
    <x v="50"/>
    <s v="8390"/>
    <s v="Volsted Sogn"/>
    <s v="Volsted Kirke"/>
    <s v="Kirke"/>
  </r>
  <r>
    <x v="5"/>
    <x v="50"/>
    <s v="9107"/>
    <s v="Godthåb Sogn"/>
    <s v="Godthåb Kirke"/>
    <s v="Kirke"/>
  </r>
  <r>
    <x v="5"/>
    <x v="51"/>
    <s v="8303"/>
    <s v="Als Sogn"/>
    <s v="Als Kirke"/>
    <s v="Kirke"/>
  </r>
  <r>
    <x v="5"/>
    <x v="51"/>
    <s v="8304"/>
    <s v="Skelund Sogn"/>
    <s v="Skelund Kirke"/>
    <s v="Kirke"/>
  </r>
  <r>
    <x v="5"/>
    <x v="51"/>
    <s v="8305"/>
    <s v="Visborg Sogn"/>
    <s v="Visborg Kirke"/>
    <s v="Kirke"/>
  </r>
  <r>
    <x v="5"/>
    <x v="51"/>
    <s v="8308"/>
    <s v="Rostrup Sogn"/>
    <s v="Rostrup Kirke"/>
    <s v="Kirke"/>
  </r>
  <r>
    <x v="5"/>
    <x v="51"/>
    <s v="8309"/>
    <s v="Oue Sogn"/>
    <s v="Oue Kirke"/>
    <s v="Kirke"/>
  </r>
  <r>
    <x v="5"/>
    <x v="51"/>
    <s v="8310"/>
    <s v="Valsgaard Sogn"/>
    <s v="Valsgaard Kirke"/>
    <s v="Kirke"/>
  </r>
  <r>
    <x v="5"/>
    <x v="51"/>
    <s v="8311"/>
    <s v="Astrup Sogn"/>
    <s v="Astrup Kirke"/>
    <s v="Kirke"/>
  </r>
  <r>
    <x v="5"/>
    <x v="51"/>
    <s v="8313"/>
    <s v="Rold Sogn"/>
    <s v="Rold Kirke"/>
    <s v="Kirke"/>
  </r>
  <r>
    <x v="5"/>
    <x v="51"/>
    <s v="8314"/>
    <s v="Vebbestrup Sogn"/>
    <s v="Vebbestrup Kirke"/>
    <s v="Kirke"/>
  </r>
  <r>
    <x v="5"/>
    <x v="51"/>
    <s v="9184"/>
    <s v="Arden Sogn"/>
    <s v="Storarden Kirke"/>
    <s v="Kirke"/>
  </r>
  <r>
    <x v="5"/>
    <x v="51"/>
    <s v="9184"/>
    <s v="Arden Sogn"/>
    <s v="Arden Kirke"/>
    <s v="Kirke"/>
  </r>
  <r>
    <x v="5"/>
    <x v="51"/>
    <s v="9191"/>
    <s v="Vive-Hadsund Sogn"/>
    <s v="Hadsund Kirke"/>
    <s v="Kirke"/>
  </r>
  <r>
    <x v="5"/>
    <x v="51"/>
    <s v="9191"/>
    <s v="Vive-Hadsund Sogn"/>
    <s v="Vive Kirke"/>
    <s v="Kirke"/>
  </r>
  <r>
    <x v="5"/>
    <x v="51"/>
    <s v="9216"/>
    <s v="Øster Hurup Sogn"/>
    <s v="Øster Hurup Kirke"/>
    <s v="Kirke"/>
  </r>
  <r>
    <x v="5"/>
    <x v="52"/>
    <s v="8402"/>
    <s v="Brønderslev Sogn"/>
    <s v="Brønderslev Gamle Kirke"/>
    <s v="Filialkirke"/>
  </r>
  <r>
    <x v="5"/>
    <x v="52"/>
    <s v="8402"/>
    <s v="Brønderslev Sogn"/>
    <s v="Brønderslev Kirke"/>
    <s v="Kirke"/>
  </r>
  <r>
    <x v="5"/>
    <x v="52"/>
    <s v="8403"/>
    <s v="Serritslev Sogn"/>
    <s v="Serritslev Kirke"/>
    <s v="Kirke"/>
  </r>
  <r>
    <x v="5"/>
    <x v="52"/>
    <s v="8411"/>
    <s v="Tise Sogn"/>
    <s v="Tise Kirke"/>
    <s v="Kirke"/>
  </r>
  <r>
    <x v="5"/>
    <x v="52"/>
    <s v="8412"/>
    <s v="Tolstrup Sogn"/>
    <s v="Tolstrup Kirke"/>
    <s v="Kirke"/>
  </r>
  <r>
    <x v="5"/>
    <x v="52"/>
    <s v="8413"/>
    <s v="Stenum Sogn"/>
    <s v="Stenum Kirke"/>
    <s v="Kirke"/>
  </r>
  <r>
    <x v="5"/>
    <x v="52"/>
    <s v="8416"/>
    <s v="Jerslev Sogn"/>
    <s v="Jerslev Kirke"/>
    <s v="Kirke"/>
  </r>
  <r>
    <x v="5"/>
    <x v="52"/>
    <s v="8417"/>
    <s v="Hellum Sogn"/>
    <s v="Hellum Kirke"/>
    <s v="Kirke"/>
  </r>
  <r>
    <x v="5"/>
    <x v="52"/>
    <s v="8418"/>
    <s v="Øster Brønderslev Sogn"/>
    <s v="Øster Brønderslev Kirke"/>
    <s v="Kirke"/>
  </r>
  <r>
    <x v="5"/>
    <x v="52"/>
    <s v="8419"/>
    <s v="Hallund Sogn"/>
    <s v="Hallund Kirke"/>
    <s v="Kirke"/>
  </r>
  <r>
    <x v="5"/>
    <x v="52"/>
    <s v="8427"/>
    <s v="Hjallerup Sogn"/>
    <s v="Hjallerup Kirke"/>
    <s v="Kirke"/>
  </r>
  <r>
    <x v="5"/>
    <x v="52"/>
    <s v="8448"/>
    <s v="Voer Sogn"/>
    <s v="Voer Kirke"/>
    <s v="Kirke"/>
  </r>
  <r>
    <x v="5"/>
    <x v="52"/>
    <s v="8449"/>
    <s v="Hellevad Sogn"/>
    <s v="Hellevad Kirke"/>
    <s v="Kirke"/>
  </r>
  <r>
    <x v="5"/>
    <x v="52"/>
    <s v="8450"/>
    <s v="Ørum Sogn"/>
    <s v="Ørum Kirke"/>
    <s v="Kirke"/>
  </r>
  <r>
    <x v="5"/>
    <x v="52"/>
    <s v="8451"/>
    <s v="Dronninglund Sogn"/>
    <s v="Dronninglund Kirkegårdskapel"/>
    <s v="Kirke"/>
  </r>
  <r>
    <x v="5"/>
    <x v="52"/>
    <s v="8451"/>
    <s v="Dronninglund Sogn"/>
    <s v="Dronninglund Kirke"/>
    <s v="Kirke"/>
  </r>
  <r>
    <x v="5"/>
    <x v="52"/>
    <s v="8452"/>
    <s v="Asaa Sogn"/>
    <s v="Aså Kirke"/>
    <s v="Kirke"/>
  </r>
  <r>
    <x v="5"/>
    <x v="52"/>
    <s v="9156"/>
    <s v="Agersted Sogn"/>
    <s v="Agersted Kirke"/>
    <s v="Kirke"/>
  </r>
  <r>
    <x v="5"/>
    <x v="52"/>
    <s v="9220"/>
    <s v="Mylund Sogn"/>
    <s v="Mylund Kirke"/>
    <s v="Kirke"/>
  </r>
  <r>
    <x v="5"/>
    <x v="52"/>
    <s v="9221"/>
    <s v="Øster Hjermitslev Sogn"/>
    <s v="Øster Hjermitslev Kirke"/>
    <s v="Kirke"/>
  </r>
  <r>
    <x v="5"/>
    <x v="52"/>
    <s v="9223"/>
    <s v="Melholt Sogn"/>
    <s v="Melholt Kirke"/>
    <s v="Kirke"/>
  </r>
  <r>
    <x v="5"/>
    <x v="52"/>
    <s v="9224"/>
    <s v="Dorf Sogn"/>
    <s v="Dorf Kirke"/>
    <s v="Kirke"/>
  </r>
  <r>
    <x v="5"/>
    <x v="53"/>
    <s v="8428"/>
    <s v="Mosbjerg Sogn"/>
    <s v="Mosbjerg Kirke"/>
    <s v="Kirke"/>
  </r>
  <r>
    <x v="5"/>
    <x v="53"/>
    <s v="8429"/>
    <s v="Bindslev Sogn"/>
    <s v="Bindslev Kirke"/>
    <s v="Kirke"/>
  </r>
  <r>
    <x v="5"/>
    <x v="53"/>
    <s v="8431"/>
    <s v="Tolne Sogn"/>
    <s v="Tolne Kirke"/>
    <s v="Kirke"/>
  </r>
  <r>
    <x v="5"/>
    <x v="53"/>
    <s v="8432"/>
    <s v="Hørmested Sogn"/>
    <s v="Hørmested Kirke"/>
    <s v="Kirke"/>
  </r>
  <r>
    <x v="5"/>
    <x v="53"/>
    <s v="8437"/>
    <s v="Byrum Sogn"/>
    <s v="Byrum Kirke"/>
    <s v="Kirke"/>
  </r>
  <r>
    <x v="5"/>
    <x v="53"/>
    <s v="8438"/>
    <s v="Hals Sogn"/>
    <s v="Østerby Kirke"/>
    <s v="Kirke"/>
  </r>
  <r>
    <x v="5"/>
    <x v="53"/>
    <s v="8439"/>
    <s v="Vesterø Sogn"/>
    <s v="Vesterø Kirke"/>
    <s v="Kirke"/>
  </r>
  <r>
    <x v="5"/>
    <x v="53"/>
    <s v="8457"/>
    <s v="Ugilt Sogn"/>
    <s v="Ugilt Kirke"/>
    <s v="Kirke"/>
  </r>
  <r>
    <x v="5"/>
    <x v="53"/>
    <s v="8459"/>
    <s v="Sindal Sogn"/>
    <s v="Sindal gl kirke"/>
    <s v="Kirke"/>
  </r>
  <r>
    <x v="5"/>
    <x v="53"/>
    <s v="8459"/>
    <s v="Sindal Sogn"/>
    <s v="Sindal bykirke"/>
    <s v="Kirke"/>
  </r>
  <r>
    <x v="5"/>
    <x v="53"/>
    <s v="8460"/>
    <s v="Astrup Sogn"/>
    <s v="Astrup Kirke"/>
    <s v="Kirke"/>
  </r>
  <r>
    <x v="5"/>
    <x v="53"/>
    <s v="8461"/>
    <s v="Bjergby Sogn"/>
    <s v="Bjergby Kirke"/>
    <s v="Kirke"/>
  </r>
  <r>
    <x v="5"/>
    <x v="53"/>
    <s v="8462"/>
    <s v="Mygdal Sogn"/>
    <s v="Mygdal Kirke"/>
    <s v="Kirke"/>
  </r>
  <r>
    <x v="5"/>
    <x v="53"/>
    <s v="8463"/>
    <s v="Horne Sogn"/>
    <s v="Horne Kirke"/>
    <s v="Kirke"/>
  </r>
  <r>
    <x v="5"/>
    <x v="53"/>
    <s v="8464"/>
    <s v="Asdal Sogn"/>
    <s v="Asdal Kirke"/>
    <s v="Kirke"/>
  </r>
  <r>
    <x v="5"/>
    <x v="53"/>
    <s v="8465"/>
    <s v="Hirtshals Sogn"/>
    <s v="Hirtshals Kirke"/>
    <s v="Kirke"/>
  </r>
  <r>
    <x v="5"/>
    <x v="53"/>
    <s v="8465"/>
    <s v="Hirtshals Sogn"/>
    <s v="Emmersbæk Kirke"/>
    <s v="Filialkirke"/>
  </r>
  <r>
    <x v="5"/>
    <x v="53"/>
    <s v="8466"/>
    <s v="Tornby Sogn"/>
    <s v="Tornby Kirke"/>
    <s v="Kirke"/>
  </r>
  <r>
    <x v="5"/>
    <x v="53"/>
    <s v="8467"/>
    <s v="Vidstrup Sogn"/>
    <s v="Vidstrup Kirke"/>
    <s v="Kirke"/>
  </r>
  <r>
    <x v="5"/>
    <x v="53"/>
    <s v="8482"/>
    <s v="Tversted Sogn"/>
    <s v="Tversted Kirke"/>
    <s v="Kirke"/>
  </r>
  <r>
    <x v="5"/>
    <x v="53"/>
    <s v="8483"/>
    <s v="Uggerby Sogn"/>
    <s v="Uggerby Kirke"/>
    <s v="Kirke"/>
  </r>
  <r>
    <x v="5"/>
    <x v="53"/>
    <s v="9063"/>
    <s v="Lendum Sogn"/>
    <s v="Lendum Kirke"/>
    <s v="Kirke"/>
  </r>
  <r>
    <x v="5"/>
    <x v="53"/>
    <s v="9229"/>
    <s v="Sørig Sogn"/>
    <s v="Sørig Kirke"/>
    <s v="Kirke"/>
  </r>
  <r>
    <x v="5"/>
    <x v="54"/>
    <s v="8430"/>
    <s v="Elling Sogn"/>
    <s v="Strandby Kirke"/>
    <s v="Filialkirke"/>
  </r>
  <r>
    <x v="5"/>
    <x v="54"/>
    <s v="8430"/>
    <s v="Elling Sogn"/>
    <s v="Elling Kirke"/>
    <s v="Kirke"/>
  </r>
  <r>
    <x v="5"/>
    <x v="54"/>
    <s v="8433"/>
    <s v="Åsted Sogn"/>
    <s v="Åsted Kirke"/>
    <s v="Kirke"/>
  </r>
  <r>
    <x v="5"/>
    <x v="54"/>
    <s v="8434"/>
    <s v="Skærum Sogn"/>
    <s v="Skærum Kirke"/>
    <s v="Kirke"/>
  </r>
  <r>
    <x v="5"/>
    <x v="54"/>
    <s v="8435"/>
    <s v="Flade Sogn"/>
    <s v="Fladbjerg Kapel"/>
    <s v="Kirke"/>
  </r>
  <r>
    <x v="5"/>
    <x v="54"/>
    <s v="8435"/>
    <s v="Flade Sogn"/>
    <s v="Flade Kirke"/>
    <s v="Kirke"/>
  </r>
  <r>
    <x v="5"/>
    <x v="54"/>
    <s v="8436"/>
    <s v="Gærum Sogn"/>
    <s v="Gærum Kirke"/>
    <s v="Kirke"/>
  </r>
  <r>
    <x v="5"/>
    <x v="54"/>
    <s v="8440"/>
    <s v="Sæby Sogn"/>
    <s v="Sæby Kapel"/>
    <s v="Kirke"/>
  </r>
  <r>
    <x v="5"/>
    <x v="54"/>
    <s v="8440"/>
    <s v="Sæby Sogn"/>
    <s v="Sæby Kirke"/>
    <s v="Kirke"/>
  </r>
  <r>
    <x v="5"/>
    <x v="54"/>
    <s v="8441"/>
    <s v="Understed Sogn"/>
    <s v="Understed Kirke"/>
    <s v="Kirke"/>
  </r>
  <r>
    <x v="5"/>
    <x v="54"/>
    <s v="8442"/>
    <s v="Karup Sogn"/>
    <s v="Karup Kirke"/>
    <s v="Kirke"/>
  </r>
  <r>
    <x v="5"/>
    <x v="54"/>
    <s v="8443"/>
    <s v="Volstrup Sogn"/>
    <s v="Volstrup Kirke"/>
    <s v="Kirke"/>
  </r>
  <r>
    <x v="5"/>
    <x v="54"/>
    <s v="8444"/>
    <s v="Hørby Sogn"/>
    <s v="Hørby Kirke"/>
    <s v="Kirke"/>
  </r>
  <r>
    <x v="5"/>
    <x v="54"/>
    <s v="8444"/>
    <s v="Hørby Sogn"/>
    <s v="Badskær Kirke"/>
    <s v="Filialkirke"/>
  </r>
  <r>
    <x v="5"/>
    <x v="54"/>
    <s v="8445"/>
    <s v="Torslev Sogn"/>
    <s v="Torslev Kirke"/>
    <s v="Kirke"/>
  </r>
  <r>
    <x v="5"/>
    <x v="54"/>
    <s v="8446"/>
    <s v="Skæve Sogn"/>
    <s v="Skæve Kirke"/>
    <s v="Kirke"/>
  </r>
  <r>
    <x v="5"/>
    <x v="54"/>
    <s v="8447"/>
    <s v="Albæk-Lyngså Sogn"/>
    <s v="Lyngså Kirke"/>
    <s v="Kirke"/>
  </r>
  <r>
    <x v="5"/>
    <x v="54"/>
    <s v="8447"/>
    <s v="Albæk-Lyngså Sogn"/>
    <s v="Albæk Kirke"/>
    <s v="Kirke"/>
  </r>
  <r>
    <x v="5"/>
    <x v="54"/>
    <s v="8476"/>
    <s v="Frederikshavn Sogn"/>
    <s v="Hirsholmene Kirke"/>
    <s v="Filialkirke"/>
  </r>
  <r>
    <x v="5"/>
    <x v="54"/>
    <s v="8476"/>
    <s v="Frederikshavn Sogn"/>
    <s v="Frederikshavn Kirke"/>
    <s v="Kirke"/>
  </r>
  <r>
    <x v="5"/>
    <x v="54"/>
    <s v="8478"/>
    <s v="Abildgård Sogn"/>
    <s v="Fladstrand Kirke"/>
    <s v="Filialkirke"/>
  </r>
  <r>
    <x v="5"/>
    <x v="54"/>
    <s v="8478"/>
    <s v="Abildgård Sogn"/>
    <s v="Kapel, Regionshospital Nordjylland, Frederikshavn"/>
    <s v="Kirke"/>
  </r>
  <r>
    <x v="5"/>
    <x v="54"/>
    <s v="8478"/>
    <s v="Abildgård Sogn"/>
    <s v="Abildgård Kirke"/>
    <s v="Kirke"/>
  </r>
  <r>
    <x v="5"/>
    <x v="54"/>
    <s v="8479"/>
    <s v="Bangsbostrand Sogn"/>
    <s v="Bangsbostrand Kirke"/>
    <s v="Kirke"/>
  </r>
  <r>
    <x v="5"/>
    <x v="54"/>
    <s v="8480"/>
    <s v="Skagen Sogn"/>
    <s v="Skagen Kapel"/>
    <s v="Kirke"/>
  </r>
  <r>
    <x v="5"/>
    <x v="54"/>
    <s v="8480"/>
    <s v="Skagen Sogn"/>
    <s v="Skagen Kirke"/>
    <s v="Kirke"/>
  </r>
  <r>
    <x v="5"/>
    <x v="54"/>
    <s v="8481"/>
    <s v="Råbjerg Sogn"/>
    <s v="Ålbæk Kirke"/>
    <s v="Filialkirke"/>
  </r>
  <r>
    <x v="5"/>
    <x v="54"/>
    <s v="8481"/>
    <s v="Råbjerg Sogn"/>
    <s v="Råbjerg Kirke"/>
    <s v="Kirke"/>
  </r>
  <r>
    <x v="5"/>
    <x v="54"/>
    <s v="9226"/>
    <s v="Østervrå Sogn"/>
    <s v="Østervrå Kirke"/>
    <s v="Kirke"/>
  </r>
  <r>
    <x v="5"/>
    <x v="54"/>
    <s v="9228"/>
    <s v="Hulsig Sogn"/>
    <s v="Hulsig Kirke"/>
    <s v="Kirke"/>
  </r>
  <r>
    <x v="5"/>
    <x v="54"/>
    <s v="9230"/>
    <s v="Jerup Sogn"/>
    <s v="Jerup Kirke"/>
    <s v="Kirke"/>
  </r>
  <r>
    <x v="5"/>
    <x v="54"/>
    <s v="9231"/>
    <s v="Kvissel Sogn"/>
    <s v="Kvissel Kirke"/>
    <s v="Kirke"/>
  </r>
  <r>
    <x v="5"/>
    <x v="55"/>
    <s v="8379"/>
    <s v="Aaby Sogn"/>
    <s v="Aaby Kirke"/>
    <s v="Kirke"/>
  </r>
  <r>
    <x v="5"/>
    <x v="55"/>
    <s v="8380"/>
    <s v="Biersted Sogn"/>
    <s v="Biersted Kirke"/>
    <s v="Kirke"/>
  </r>
  <r>
    <x v="5"/>
    <x v="55"/>
    <s v="8391"/>
    <s v="Lerup Sogn"/>
    <s v="Lerup Kirke"/>
    <s v="Kirke"/>
  </r>
  <r>
    <x v="5"/>
    <x v="55"/>
    <s v="8392"/>
    <s v="Tranum Sogn"/>
    <s v="Tranum Kirke"/>
    <s v="Kirke"/>
  </r>
  <r>
    <x v="5"/>
    <x v="55"/>
    <s v="8393"/>
    <s v="Brovst Sogn"/>
    <s v="Brovst Kirke"/>
    <s v="Kirke"/>
  </r>
  <r>
    <x v="5"/>
    <x v="55"/>
    <s v="8394"/>
    <s v="Øland Sogn"/>
    <s v="Oxholm Kirke"/>
    <s v="Kirke"/>
  </r>
  <r>
    <x v="5"/>
    <x v="55"/>
    <s v="8395"/>
    <s v="Torslev Sogn"/>
    <s v="Torslev Kirke"/>
    <s v="Kirke"/>
  </r>
  <r>
    <x v="5"/>
    <x v="55"/>
    <s v="8396"/>
    <s v="Øster Svenstrup Sogn"/>
    <s v="Øster Svenstrup Kirke"/>
    <s v="Kirke"/>
  </r>
  <r>
    <x v="5"/>
    <x v="55"/>
    <s v="8396"/>
    <s v="Øster Svenstrup Sogn"/>
    <s v="Øster Svenstrup Kirkes kapel"/>
    <s v="Kirke"/>
  </r>
  <r>
    <x v="5"/>
    <x v="55"/>
    <s v="8397"/>
    <s v="Haverslev Sogn"/>
    <s v="Haverslev Kirke"/>
    <s v="Kirke"/>
  </r>
  <r>
    <x v="5"/>
    <x v="55"/>
    <s v="8398"/>
    <s v="Skræm Sogn"/>
    <s v="Skræm Kirke"/>
    <s v="Kirke"/>
  </r>
  <r>
    <x v="5"/>
    <x v="55"/>
    <s v="8400"/>
    <s v="Bejstrup Sogn"/>
    <s v="Bejstrup Kirke"/>
    <s v="Kirke"/>
  </r>
  <r>
    <x v="5"/>
    <x v="55"/>
    <s v="8401"/>
    <s v="Vedsted Sogn"/>
    <s v="Vedsted Kirke"/>
    <s v="Kirke"/>
  </r>
  <r>
    <x v="5"/>
    <x v="55"/>
    <s v="8420"/>
    <s v="Ingstrup Sogn"/>
    <s v="Ingstrup Kirke"/>
    <s v="Kirke"/>
  </r>
  <r>
    <x v="5"/>
    <x v="55"/>
    <s v="8421"/>
    <s v="Vester Hjermitslev Sogn"/>
    <s v="Vester Hjermitslev Kirke"/>
    <s v="Kirke"/>
  </r>
  <r>
    <x v="5"/>
    <x v="55"/>
    <s v="8422"/>
    <s v="Saltum Sogn"/>
    <s v="Saltum Kirke"/>
    <s v="Kirke"/>
  </r>
  <r>
    <x v="5"/>
    <x v="55"/>
    <s v="8423"/>
    <s v="Alstrup Sogn"/>
    <s v="Alstrup Kirke"/>
    <s v="Kirke"/>
  </r>
  <r>
    <x v="5"/>
    <x v="55"/>
    <s v="8424"/>
    <s v="Jetsmark Sogn"/>
    <s v="Jetsmark Kirke"/>
    <s v="Kirke"/>
  </r>
  <r>
    <x v="5"/>
    <x v="55"/>
    <s v="8424"/>
    <s v="Jetsmark Sogn"/>
    <s v="Jetsmarks Kirkes Kapel"/>
    <s v="Kirke"/>
  </r>
  <r>
    <x v="5"/>
    <x v="55"/>
    <s v="8425"/>
    <s v="Hune Sogn"/>
    <s v="Hune Kirke"/>
    <s v="Kirke"/>
  </r>
  <r>
    <x v="5"/>
    <x v="55"/>
    <s v="8425"/>
    <s v="Hune Sogn"/>
    <s v="Rødhus Kirke"/>
    <s v="Filialkirke"/>
  </r>
  <r>
    <x v="5"/>
    <x v="55"/>
    <s v="8426"/>
    <s v="Gjøl Sogn"/>
    <s v="Gjøl Kirke"/>
    <s v="Kirke"/>
  </r>
  <r>
    <x v="5"/>
    <x v="55"/>
    <s v="8710"/>
    <s v="Hjortdal Sogn"/>
    <s v="Hjortdal Kirke"/>
    <s v="Kirke"/>
  </r>
  <r>
    <x v="5"/>
    <x v="55"/>
    <s v="8711"/>
    <s v="Klim Sogn"/>
    <s v="Klim Valgmenighedskirke"/>
    <s v="Kirke"/>
  </r>
  <r>
    <x v="5"/>
    <x v="55"/>
    <s v="8711"/>
    <s v="Klim Sogn"/>
    <s v="Klim Kirke"/>
    <s v="Kirke"/>
  </r>
  <r>
    <x v="5"/>
    <x v="55"/>
    <s v="8712"/>
    <s v="Vester Torup Sogn"/>
    <s v="Torup Kirke"/>
    <s v="Kirke"/>
  </r>
  <r>
    <x v="5"/>
    <x v="55"/>
    <s v="8713"/>
    <s v="Vust Sogn"/>
    <s v="Vust Kirke"/>
    <s v="Kirke"/>
  </r>
  <r>
    <x v="5"/>
    <x v="55"/>
    <s v="8716"/>
    <s v="Kettrup Sogn"/>
    <s v="Kettrup Kirke"/>
    <s v="Kirke"/>
  </r>
  <r>
    <x v="5"/>
    <x v="55"/>
    <s v="8717"/>
    <s v="Gøttrup Sogn"/>
    <s v="Gøttrup Kirke"/>
    <s v="Kirke"/>
  </r>
  <r>
    <x v="5"/>
    <x v="55"/>
    <s v="9150"/>
    <s v="Langeslund Sogn"/>
    <s v="Langeslund Kirke"/>
    <s v="Kirke"/>
  </r>
  <r>
    <x v="5"/>
    <x v="55"/>
    <s v="9180"/>
    <s v="Kollerup-Fjerritslev Sogn"/>
    <s v="Kollerup Kirke"/>
    <s v="Kirke"/>
  </r>
  <r>
    <x v="5"/>
    <x v="55"/>
    <s v="9180"/>
    <s v="Kollerup-Fjerritslev Sogn"/>
    <s v="Fjerritslev Kirke"/>
    <s v="Kirke"/>
  </r>
  <r>
    <x v="5"/>
    <x v="55"/>
    <s v="9234"/>
    <s v="Koldmose Sogn"/>
    <s v="Koldmose Kirke"/>
    <s v="Kirke"/>
  </r>
  <r>
    <x v="5"/>
    <x v="56"/>
    <s v="8642"/>
    <s v="Hillerslev Sogn"/>
    <s v="Hillerslev Kirke"/>
    <s v="Kirke"/>
  </r>
  <r>
    <x v="5"/>
    <x v="56"/>
    <s v="8643"/>
    <s v="Kåstrup Sogn"/>
    <s v="Kåstrup Kirke"/>
    <s v="Kirke"/>
  </r>
  <r>
    <x v="5"/>
    <x v="56"/>
    <s v="8644"/>
    <s v="Sennels Sogn"/>
    <s v="Sennels Kirke"/>
    <s v="Kirke"/>
  </r>
  <r>
    <x v="5"/>
    <x v="56"/>
    <s v="8645"/>
    <s v="Hunstrup Sogn"/>
    <s v="Hunstrup Kirke"/>
    <s v="Kirke"/>
  </r>
  <r>
    <x v="5"/>
    <x v="56"/>
    <s v="8646"/>
    <s v="Østerild Sogn"/>
    <s v="Østerild Kirke"/>
    <s v="Kirke"/>
  </r>
  <r>
    <x v="5"/>
    <x v="56"/>
    <s v="8647"/>
    <s v="Hjardemål Sogn"/>
    <s v="Hjardemål Klit Kirke"/>
    <s v="Kirke"/>
  </r>
  <r>
    <x v="5"/>
    <x v="56"/>
    <s v="8647"/>
    <s v="Hjardemål Sogn"/>
    <s v="Hjardemål Kirke"/>
    <s v="Kirke"/>
  </r>
  <r>
    <x v="5"/>
    <x v="56"/>
    <s v="8714"/>
    <s v="Tømmerby Sogn"/>
    <s v="Tømmerby Kirke"/>
    <s v="Kirke"/>
  </r>
  <r>
    <x v="5"/>
    <x v="56"/>
    <s v="8715"/>
    <s v="Lild Sogn"/>
    <s v="Lild Kirke"/>
    <s v="Kirke"/>
  </r>
  <r>
    <x v="5"/>
    <x v="56"/>
    <s v="8715"/>
    <s v="Lild Sogn"/>
    <s v="Lildstrand Kirke"/>
    <s v="Filialkirke"/>
  </r>
  <r>
    <x v="5"/>
    <x v="56"/>
    <s v="8718"/>
    <s v="Øsløs Sogn"/>
    <s v="Øsløs Kirke"/>
    <s v="Kirke"/>
  </r>
  <r>
    <x v="5"/>
    <x v="56"/>
    <s v="8719"/>
    <s v="Vesløs Sogn"/>
    <s v="Vesløs Valgmenighedskirke"/>
    <s v="Kirkesal"/>
  </r>
  <r>
    <x v="5"/>
    <x v="56"/>
    <s v="8719"/>
    <s v="Vesløs Sogn"/>
    <s v="Vesløs Kirke"/>
    <s v="Kirke"/>
  </r>
  <r>
    <x v="5"/>
    <x v="56"/>
    <s v="8720"/>
    <s v="Arup Sogn"/>
    <s v="Arup Kirke"/>
    <s v="Kirke"/>
  </r>
  <r>
    <x v="5"/>
    <x v="56"/>
    <s v="8721"/>
    <s v="Thisted Sogn"/>
    <s v="Thisted Vestre Kapel"/>
    <s v="Kirke"/>
  </r>
  <r>
    <x v="5"/>
    <x v="56"/>
    <s v="8721"/>
    <s v="Thisted Sogn"/>
    <s v="Thisted Sygehuskapel"/>
    <s v="Kirke"/>
  </r>
  <r>
    <x v="5"/>
    <x v="56"/>
    <s v="8721"/>
    <s v="Thisted Sogn"/>
    <s v="Thisted Kirke"/>
    <s v="Kirke"/>
  </r>
  <r>
    <x v="5"/>
    <x v="56"/>
    <s v="8722"/>
    <s v="Tilsted Sogn"/>
    <s v="Tilsted Kirke"/>
    <s v="Kirke"/>
  </r>
  <r>
    <x v="5"/>
    <x v="56"/>
    <s v="8723"/>
    <s v="Skinnerup Sogn"/>
    <s v="Skinnerup Kirke"/>
    <s v="Kirke"/>
  </r>
  <r>
    <x v="5"/>
    <x v="56"/>
    <s v="8724"/>
    <s v="Sjørring Sogn"/>
    <s v="Sjørring Kirke"/>
    <s v="Kirke"/>
  </r>
  <r>
    <x v="5"/>
    <x v="56"/>
    <s v="8725"/>
    <s v="Thorsted Sogn"/>
    <s v="Thorsted Kirke"/>
    <s v="Kirke"/>
  </r>
  <r>
    <x v="5"/>
    <x v="56"/>
    <s v="8726"/>
    <s v="Skjoldborg Sogn"/>
    <s v="Skjoldborg Kirke"/>
    <s v="Kirke"/>
  </r>
  <r>
    <x v="5"/>
    <x v="56"/>
    <s v="8727"/>
    <s v="Kallerup Sogn"/>
    <s v="Kallerup Kirke"/>
    <s v="Kirke"/>
  </r>
  <r>
    <x v="5"/>
    <x v="56"/>
    <s v="8728"/>
    <s v="Hundborg Sogn"/>
    <s v="Hundborg Kirke"/>
    <s v="Kirke"/>
  </r>
  <r>
    <x v="5"/>
    <x v="56"/>
    <s v="8729"/>
    <s v="Jannerup Sogn"/>
    <s v="Jannerup Kirke"/>
    <s v="Kirke"/>
  </r>
  <r>
    <x v="5"/>
    <x v="56"/>
    <s v="8730"/>
    <s v="Vang Sogn"/>
    <s v="Vang Kirke"/>
    <s v="Kirke"/>
  </r>
  <r>
    <x v="5"/>
    <x v="56"/>
    <s v="8731"/>
    <s v="Ræhr Sogn"/>
    <s v="Ræhr Kirke"/>
    <s v="Kirke"/>
  </r>
  <r>
    <x v="5"/>
    <x v="56"/>
    <s v="8732"/>
    <s v="Hansted Sogn"/>
    <s v="Hansted Kirke"/>
    <s v="Kirke"/>
  </r>
  <r>
    <x v="5"/>
    <x v="56"/>
    <s v="8733"/>
    <s v="Vigsø Sogn"/>
    <s v="Vigsø Kirke"/>
    <s v="Kirke"/>
  </r>
  <r>
    <x v="5"/>
    <x v="56"/>
    <s v="8734"/>
    <s v="Nors Sogn"/>
    <s v="Nors Kirke"/>
    <s v="Kirke"/>
  </r>
  <r>
    <x v="5"/>
    <x v="56"/>
    <s v="8735"/>
    <s v="Tved Sogn"/>
    <s v="Tved Kirke"/>
    <s v="Kirke"/>
  </r>
  <r>
    <x v="5"/>
    <x v="56"/>
    <s v="8736"/>
    <s v="Vester Vandet Sogn"/>
    <s v="Vester Vandet Kirke"/>
    <s v="Kirke"/>
  </r>
  <r>
    <x v="5"/>
    <x v="56"/>
    <s v="8737"/>
    <s v="Øster Vandet Sogn"/>
    <s v="Øster Vandet Kirke"/>
    <s v="Kirke"/>
  </r>
  <r>
    <x v="5"/>
    <x v="56"/>
    <s v="9127"/>
    <s v="Klitmøller Sogn"/>
    <s v="Klitmøller Kirke"/>
    <s v="Kirke"/>
  </r>
  <r>
    <x v="5"/>
    <x v="56"/>
    <s v="9129"/>
    <s v="Vorupør Sogn"/>
    <s v="Vorupør Kirke"/>
    <s v="Kirke"/>
  </r>
  <r>
    <x v="5"/>
    <x v="57"/>
    <s v="8648"/>
    <s v="Vestervig Sogn"/>
    <s v="Vestervig Kirke"/>
    <s v="Kirke"/>
  </r>
  <r>
    <x v="5"/>
    <x v="57"/>
    <s v="8649"/>
    <s v="Agger Sogn"/>
    <s v="Agger Kirke"/>
    <s v="Kirke"/>
  </r>
  <r>
    <x v="5"/>
    <x v="57"/>
    <s v="8650"/>
    <s v="Hurup Sogn"/>
    <s v="Hurup kirkes kapel"/>
    <s v="Kirke"/>
  </r>
  <r>
    <x v="5"/>
    <x v="57"/>
    <s v="8650"/>
    <s v="Hurup Sogn"/>
    <s v="Hurup Kirke"/>
    <s v="Kirke"/>
  </r>
  <r>
    <x v="5"/>
    <x v="57"/>
    <s v="8651"/>
    <s v="Boddum Sogn"/>
    <s v="Boddum Kirke"/>
    <s v="Kirke"/>
  </r>
  <r>
    <x v="5"/>
    <x v="57"/>
    <s v="8652"/>
    <s v="Ydby Sogn"/>
    <s v="Ydby Kirke"/>
    <s v="Kirke"/>
  </r>
  <r>
    <x v="5"/>
    <x v="57"/>
    <s v="8660"/>
    <s v="Snedsted Sogn"/>
    <s v="Snedsted Kirke"/>
    <s v="Kirke"/>
  </r>
  <r>
    <x v="5"/>
    <x v="57"/>
    <s v="8661"/>
    <s v="Nørhå Sogn"/>
    <s v="Nørhå Kirke"/>
    <s v="Kirke"/>
  </r>
  <r>
    <x v="5"/>
    <x v="57"/>
    <s v="8662"/>
    <s v="Sønderhå Sogn"/>
    <s v="Sønderhå Kirke"/>
    <s v="Kirke"/>
  </r>
  <r>
    <x v="5"/>
    <x v="57"/>
    <s v="8663"/>
    <s v="Hørsted Sogn"/>
    <s v="Hørsted Kirke"/>
    <s v="Kirke"/>
  </r>
  <r>
    <x v="5"/>
    <x v="57"/>
    <s v="8664"/>
    <s v="Harring Sogn"/>
    <s v="Harring Kirke"/>
    <s v="Kirke"/>
  </r>
  <r>
    <x v="5"/>
    <x v="57"/>
    <s v="8665"/>
    <s v="Stagstrup Sogn"/>
    <s v="Stagstrup Kirke"/>
    <s v="Kirke"/>
  </r>
  <r>
    <x v="5"/>
    <x v="57"/>
    <s v="8666"/>
    <s v="Skyum Sogn"/>
    <s v="Skyum Kirke"/>
    <s v="Kirke"/>
  </r>
  <r>
    <x v="5"/>
    <x v="57"/>
    <s v="8667"/>
    <s v="Hørdum Sogn"/>
    <s v="Hørdum Kirke"/>
    <s v="Kirke"/>
  </r>
  <r>
    <x v="5"/>
    <x v="57"/>
    <s v="8683"/>
    <s v="Hassing Sogn"/>
    <s v="Hassing Kirke"/>
    <s v="Kirke"/>
  </r>
  <r>
    <x v="5"/>
    <x v="57"/>
    <s v="8684"/>
    <s v="Villerslev Sogn"/>
    <s v="Villerslev Kirke"/>
    <s v="Kirke"/>
  </r>
  <r>
    <x v="5"/>
    <x v="57"/>
    <s v="8685"/>
    <s v="Visby Sogn"/>
    <s v="Visby Kirke"/>
    <s v="Kirke"/>
  </r>
  <r>
    <x v="5"/>
    <x v="57"/>
    <s v="8686"/>
    <s v="Heltborg Sogn"/>
    <s v="Heltborg Kirke"/>
    <s v="Kirke"/>
  </r>
  <r>
    <x v="5"/>
    <x v="57"/>
    <s v="8689"/>
    <s v="Hvidbjerg Vesten Å Sogn"/>
    <s v="Hvidbjerg Kirke"/>
    <s v="Kirke"/>
  </r>
  <r>
    <x v="5"/>
    <x v="57"/>
    <s v="8690"/>
    <s v="Ørum Sogn"/>
    <s v="Ørum Kirke"/>
    <s v="Kirke"/>
  </r>
  <r>
    <x v="5"/>
    <x v="57"/>
    <s v="8691"/>
    <s v="Lodbjerg Sogn"/>
    <s v="Lodbjerg Kirke"/>
    <s v="Kirke"/>
  </r>
  <r>
    <x v="5"/>
    <x v="57"/>
    <s v="9198"/>
    <s v="Bedsted-Grurup Sogn"/>
    <s v="Bedsted Kirke"/>
    <s v="Kirke"/>
  </r>
  <r>
    <x v="5"/>
    <x v="57"/>
    <s v="9198"/>
    <s v="Bedsted-Grurup Sogn"/>
    <s v="Grurup Kirke"/>
    <s v="Kirke"/>
  </r>
  <r>
    <x v="5"/>
    <x v="57"/>
    <s v="9235"/>
    <s v="Stenbjerg Sogn"/>
    <s v="Stenbjerg Kirke"/>
    <s v="Kirke"/>
  </r>
  <r>
    <x v="5"/>
    <x v="57"/>
    <s v="9320"/>
    <s v="Helligsø-Gettrup Sogn"/>
    <s v="Helligsø Kirke"/>
    <s v="Kirke"/>
  </r>
  <r>
    <x v="5"/>
    <x v="57"/>
    <s v="9320"/>
    <s v="Helligsø-Gettrup Sogn"/>
    <s v="Gettrup Kirke"/>
    <s v="Kirke"/>
  </r>
  <r>
    <x v="5"/>
    <x v="58"/>
    <s v="8668"/>
    <s v="Sejerslev Sogn"/>
    <s v="Sejerslev Kirke"/>
    <s v="Kirke"/>
  </r>
  <r>
    <x v="5"/>
    <x v="58"/>
    <s v="8669"/>
    <s v="Ejerslev Sogn"/>
    <s v="Ejerslev Kirke"/>
    <s v="Kirke"/>
  </r>
  <r>
    <x v="5"/>
    <x v="58"/>
    <s v="8670"/>
    <s v="Jørsby Sogn"/>
    <s v="Jørsby Kirke"/>
    <s v="Kirke"/>
  </r>
  <r>
    <x v="5"/>
    <x v="58"/>
    <s v="8671"/>
    <s v="Flade Sogn"/>
    <s v="Flade Kirke"/>
    <s v="Kirke"/>
  </r>
  <r>
    <x v="5"/>
    <x v="58"/>
    <s v="8672"/>
    <s v="Bjergby Sogn"/>
    <s v="Bjergby Kirke"/>
    <s v="Kirke"/>
  </r>
  <r>
    <x v="5"/>
    <x v="58"/>
    <s v="8673"/>
    <s v="Alsted Sogn"/>
    <s v="Alsted Kirke"/>
    <s v="Kirke"/>
  </r>
  <r>
    <x v="5"/>
    <x v="58"/>
    <s v="8674"/>
    <s v="Sønder Dråby Sogn"/>
    <s v="Sønder Dråby Kirke"/>
    <s v="Kirke"/>
  </r>
  <r>
    <x v="5"/>
    <x v="58"/>
    <s v="8675"/>
    <s v="Solbjerg Sogn"/>
    <s v="Solbjerg Kirke"/>
    <s v="Kirke"/>
  </r>
  <r>
    <x v="5"/>
    <x v="58"/>
    <s v="8676"/>
    <s v="Sundby Sogn"/>
    <s v="Sundby Kirke"/>
    <s v="Kirke"/>
  </r>
  <r>
    <x v="5"/>
    <x v="58"/>
    <s v="8677"/>
    <s v="Dragstrup Sogn"/>
    <s v="Dragstrup Kirke"/>
    <s v="Kirke"/>
  </r>
  <r>
    <x v="5"/>
    <x v="58"/>
    <s v="8678"/>
    <s v="Skallerup Sogn"/>
    <s v="Skallerup Kirke"/>
    <s v="Kirke"/>
  </r>
  <r>
    <x v="5"/>
    <x v="58"/>
    <s v="8679"/>
    <s v="Galtrup Sogn"/>
    <s v="Galtrup Kirke"/>
    <s v="Kirke"/>
  </r>
  <r>
    <x v="5"/>
    <x v="58"/>
    <s v="8680"/>
    <s v="Øster Jølby Sogn"/>
    <s v="Øster Jølby Kirke"/>
    <s v="Kirke"/>
  </r>
  <r>
    <x v="5"/>
    <x v="58"/>
    <s v="8681"/>
    <s v="Tødsø Sogn"/>
    <s v="Tødsø Kirke"/>
    <s v="Kirke"/>
  </r>
  <r>
    <x v="5"/>
    <x v="58"/>
    <s v="8682"/>
    <s v="Erslev Sogn"/>
    <s v="Erslev Kirke"/>
    <s v="Kirke"/>
  </r>
  <r>
    <x v="5"/>
    <x v="58"/>
    <s v="8692"/>
    <s v="Nykøbing M Sogn"/>
    <s v="Nykøbing Mors Kirkegårdskapel"/>
    <s v="Kirke"/>
  </r>
  <r>
    <x v="5"/>
    <x v="58"/>
    <s v="8692"/>
    <s v="Nykøbing M Sogn"/>
    <s v="Sankt Clemens Kirke"/>
    <s v="Kirke"/>
  </r>
  <r>
    <x v="5"/>
    <x v="58"/>
    <s v="8693"/>
    <s v="Lødderup Sogn"/>
    <s v="Lødderup Kirke"/>
    <s v="Kirke"/>
  </r>
  <r>
    <x v="5"/>
    <x v="58"/>
    <s v="8694"/>
    <s v="Elsø Sogn"/>
    <s v="Elsø Kirke"/>
    <s v="Kirke"/>
  </r>
  <r>
    <x v="5"/>
    <x v="58"/>
    <s v="8695"/>
    <s v="Frøslev Sogn"/>
    <s v="Frøslev Kirke"/>
    <s v="Kirke"/>
  </r>
  <r>
    <x v="5"/>
    <x v="58"/>
    <s v="8696"/>
    <s v="Mollerup Sogn"/>
    <s v="Mollerup Kirke"/>
    <s v="Kirke"/>
  </r>
  <r>
    <x v="5"/>
    <x v="58"/>
    <s v="8697"/>
    <s v="Tæbring Sogn"/>
    <s v="Tæbring Kirke"/>
    <s v="Kirke"/>
  </r>
  <r>
    <x v="5"/>
    <x v="58"/>
    <s v="8698"/>
    <s v="Ovtrup Sogn"/>
    <s v="Ovtrup Kirke"/>
    <s v="Kirke"/>
  </r>
  <r>
    <x v="5"/>
    <x v="58"/>
    <s v="8699"/>
    <s v="Rakkeby Sogn"/>
    <s v="Rakkeby Kirke"/>
    <s v="Kirke"/>
  </r>
  <r>
    <x v="5"/>
    <x v="58"/>
    <s v="8700"/>
    <s v="Karby Sogn"/>
    <s v="Karby Kirke"/>
    <s v="Kirke"/>
  </r>
  <r>
    <x v="5"/>
    <x v="58"/>
    <s v="8701"/>
    <s v="Redsted Sogn"/>
    <s v="Redsted Kirke"/>
    <s v="Kirke"/>
  </r>
  <r>
    <x v="5"/>
    <x v="58"/>
    <s v="8702"/>
    <s v="Hvidbjerg Sogn"/>
    <s v="Hvidbjerg Kirke"/>
    <s v="Kirke"/>
  </r>
  <r>
    <x v="5"/>
    <x v="58"/>
    <s v="8703"/>
    <s v="Vejerslev Sogn"/>
    <s v="Vejerslev Kirke"/>
    <s v="Kirke"/>
  </r>
  <r>
    <x v="5"/>
    <x v="58"/>
    <s v="8705"/>
    <s v="Ljørslev Sogn"/>
    <s v="Ljørslev Kirke"/>
    <s v="Kirke"/>
  </r>
  <r>
    <x v="5"/>
    <x v="58"/>
    <s v="8706"/>
    <s v="Ørding Sogn"/>
    <s v="Ørding Kirke"/>
    <s v="Kirke"/>
  </r>
  <r>
    <x v="5"/>
    <x v="58"/>
    <s v="8708"/>
    <s v="Vester Assels Sogn"/>
    <s v="Vester Assels Kirke"/>
    <s v="Kirke"/>
  </r>
  <r>
    <x v="5"/>
    <x v="58"/>
    <s v="9236"/>
    <s v="Agerø Sogn"/>
    <s v="Agerø Kirke"/>
    <s v="Kirke"/>
  </r>
  <r>
    <x v="5"/>
    <x v="58"/>
    <s v="9328"/>
    <s v="Øster Assels-Blidstrup Sogn"/>
    <s v="Blidstrup Kirke"/>
    <s v="Kirke"/>
  </r>
  <r>
    <x v="5"/>
    <x v="58"/>
    <s v="9328"/>
    <s v="Øster Assels-Blidstrup Sogn"/>
    <s v="Øster Assels Kirke"/>
    <s v="Kirke"/>
  </r>
  <r>
    <x v="5"/>
    <x v="59"/>
    <s v="8318"/>
    <s v="Gunderup Sogn"/>
    <s v="Gunderup Kirke"/>
    <s v="Kirke"/>
  </r>
  <r>
    <x v="5"/>
    <x v="59"/>
    <s v="8319"/>
    <s v="Nøvling Sogn"/>
    <s v="Nøvling Kirke"/>
    <s v="Kirke"/>
  </r>
  <r>
    <x v="5"/>
    <x v="59"/>
    <s v="8323"/>
    <s v="Lillevorde Sogn"/>
    <s v="Lillevorde Kirke"/>
    <s v="Kirke"/>
  </r>
  <r>
    <x v="5"/>
    <x v="59"/>
    <s v="8324"/>
    <s v="Mou Sogn"/>
    <s v="Dokkedal Kirke"/>
    <s v="Filialkirke"/>
  </r>
  <r>
    <x v="5"/>
    <x v="59"/>
    <s v="8324"/>
    <s v="Mou Sogn"/>
    <s v="Mou Kirke"/>
    <s v="Kirke"/>
  </r>
  <r>
    <x v="5"/>
    <x v="59"/>
    <s v="8325"/>
    <s v="Storvorde Sogn"/>
    <s v="Storvorde Kirke"/>
    <s v="Kirke"/>
  </r>
  <r>
    <x v="5"/>
    <x v="59"/>
    <s v="8326"/>
    <s v="Sejlflod Sogn"/>
    <s v="Sejlflod Kirke"/>
    <s v="Kirke"/>
  </r>
  <r>
    <x v="5"/>
    <x v="59"/>
    <s v="8343"/>
    <s v="Sønder Kongerslev Sogn"/>
    <s v="Sønder Kongerslev Kirke"/>
    <s v="Kirke"/>
  </r>
  <r>
    <x v="5"/>
    <x v="59"/>
    <s v="8344"/>
    <s v="Nørre Kongerslev Sogn"/>
    <s v="Nørre Kongerslev Kirke"/>
    <s v="Kirke"/>
  </r>
  <r>
    <x v="5"/>
    <x v="59"/>
    <s v="8345"/>
    <s v="Komdrup Sogn"/>
    <s v="Komdrup Kirke"/>
    <s v="Kirke"/>
  </r>
  <r>
    <x v="5"/>
    <x v="59"/>
    <s v="8370"/>
    <s v="Sønder Tranders Sogn"/>
    <s v="Sønder Tranders Kirke"/>
    <s v="Kirke"/>
  </r>
  <r>
    <x v="5"/>
    <x v="59"/>
    <s v="8370"/>
    <s v="Sønder Tranders Sogn"/>
    <s v="Gug Kirke"/>
    <s v="Kirke"/>
  </r>
  <r>
    <x v="5"/>
    <x v="59"/>
    <s v="8371"/>
    <s v="Nørre Tranders Sogn"/>
    <s v="Kirkecenter for Nørre Tranders"/>
    <s v="Kirkesal"/>
  </r>
  <r>
    <x v="5"/>
    <x v="59"/>
    <s v="8371"/>
    <s v="Nørre Tranders Sogn"/>
    <s v="Nørre Tranders Kirke"/>
    <s v="Kirke"/>
  </r>
  <r>
    <x v="5"/>
    <x v="59"/>
    <s v="9076"/>
    <s v="Skalborg Sogn"/>
    <s v="Skalborg Kirke"/>
    <s v="Kirke"/>
  </r>
  <r>
    <x v="5"/>
    <x v="59"/>
    <s v="9157"/>
    <s v="Gistrup Sogn"/>
    <s v="Gistrup Kirke"/>
    <s v="Kirke"/>
  </r>
  <r>
    <x v="5"/>
    <x v="59"/>
    <s v="9187"/>
    <s v="Romdrup-Klarup Sogn"/>
    <s v="Klarup Kirke"/>
    <s v="Kirke"/>
  </r>
  <r>
    <x v="5"/>
    <x v="59"/>
    <s v="9187"/>
    <s v="Romdrup-Klarup Sogn"/>
    <s v="Romdrup Kirke"/>
    <s v="Kirke"/>
  </r>
  <r>
    <x v="5"/>
    <x v="59"/>
    <s v="9232"/>
    <s v="Gudumholm Sogn"/>
    <s v="Gudumholm Kirke"/>
    <s v="Kirke"/>
  </r>
  <r>
    <x v="5"/>
    <x v="59"/>
    <s v="9232"/>
    <s v="Gudumholm Sogn"/>
    <s v="Gudum Kirke"/>
    <s v="Kirke"/>
  </r>
  <r>
    <x v="5"/>
    <x v="59"/>
    <s v="9237"/>
    <s v="Rørdal Sogn"/>
    <s v="Rørdal Kirke"/>
    <s v="Kirke"/>
  </r>
  <r>
    <x v="5"/>
    <x v="60"/>
    <s v="8404"/>
    <s v="Vrejlev Sogn"/>
    <s v="Vrejlev Kirke"/>
    <s v="Kirke"/>
  </r>
  <r>
    <x v="5"/>
    <x v="60"/>
    <s v="8405"/>
    <s v="Hæstrup Sogn"/>
    <s v="Hæstrup Kirke"/>
    <s v="Kirke"/>
  </r>
  <r>
    <x v="5"/>
    <x v="60"/>
    <s v="8406"/>
    <s v="Børglum Sogn"/>
    <s v="Vittrup Kirke"/>
    <s v="Filialkirke"/>
  </r>
  <r>
    <x v="5"/>
    <x v="60"/>
    <s v="8406"/>
    <s v="Børglum Sogn"/>
    <s v="Børglum Klosterkirke"/>
    <s v="Filialkirke"/>
  </r>
  <r>
    <x v="5"/>
    <x v="60"/>
    <s v="8406"/>
    <s v="Børglum Sogn"/>
    <s v="Børglum Kirke"/>
    <s v="Kirke"/>
  </r>
  <r>
    <x v="5"/>
    <x v="60"/>
    <s v="8407"/>
    <s v="Løkken-Furreby Sogn"/>
    <s v="Løkken Kirke"/>
    <s v="Filialkirke"/>
  </r>
  <r>
    <x v="5"/>
    <x v="60"/>
    <s v="8407"/>
    <s v="Løkken-Furreby Sogn"/>
    <s v="Furreby Kirke"/>
    <s v="Kirke"/>
  </r>
  <r>
    <x v="5"/>
    <x v="60"/>
    <s v="8408"/>
    <s v="Vejby Sogn"/>
    <s v="Vejby Kirke"/>
    <s v="Kirke"/>
  </r>
  <r>
    <x v="5"/>
    <x v="60"/>
    <s v="8409"/>
    <s v="Sejlstrup Sogn"/>
    <s v="Sejlstrup Kirke"/>
    <s v="Kirke"/>
  </r>
  <r>
    <x v="5"/>
    <x v="60"/>
    <s v="8410"/>
    <s v="Vrensted Sogn"/>
    <s v="Vrensted Kirke"/>
    <s v="Kirke"/>
  </r>
  <r>
    <x v="5"/>
    <x v="60"/>
    <s v="8414"/>
    <s v="Vrå Sogn"/>
    <s v="Vrå Kirke"/>
    <s v="Kirke"/>
  </r>
  <r>
    <x v="5"/>
    <x v="60"/>
    <s v="8414"/>
    <s v="Vrå Sogn"/>
    <s v="Vrå Valgmenighedskirke"/>
    <s v="Kirkesal"/>
  </r>
  <r>
    <x v="5"/>
    <x v="60"/>
    <s v="8415"/>
    <s v="Em Sogn"/>
    <s v="Em Kirke"/>
    <s v="Kirke"/>
  </r>
  <r>
    <x v="5"/>
    <x v="60"/>
    <s v="8454"/>
    <s v="Sankt Catharinæ Sogn"/>
    <s v="Sankt Catharinæ Kirke"/>
    <s v="Kirke"/>
  </r>
  <r>
    <x v="5"/>
    <x v="60"/>
    <s v="8454"/>
    <s v="Sankt Catharinæ Sogn"/>
    <s v="Kapel, Regionshospital Nordjylland, Hjørring"/>
    <s v="Kirke"/>
  </r>
  <r>
    <x v="5"/>
    <x v="60"/>
    <s v="8454"/>
    <s v="Sankt Catharinæ Sogn"/>
    <s v="Hjørring Kirkegårds Kapel"/>
    <s v="Kirke"/>
  </r>
  <r>
    <x v="5"/>
    <x v="60"/>
    <s v="8455"/>
    <s v="Sankt Hans Sogn"/>
    <s v="Sankt Hans Kirke"/>
    <s v="Kirke"/>
  </r>
  <r>
    <x v="5"/>
    <x v="60"/>
    <s v="8456"/>
    <s v="Sankt Olai Sogn"/>
    <s v="Sankt Olai Kirke"/>
    <s v="Kirke"/>
  </r>
  <r>
    <x v="5"/>
    <x v="60"/>
    <s v="8458"/>
    <s v="Tårs Sogn"/>
    <s v="Morild Kirke"/>
    <s v="Filialkirke"/>
  </r>
  <r>
    <x v="5"/>
    <x v="60"/>
    <s v="8458"/>
    <s v="Tårs Sogn"/>
    <s v="Tårs Kirke"/>
    <s v="Kirke"/>
  </r>
  <r>
    <x v="5"/>
    <x v="60"/>
    <s v="8468"/>
    <s v="Skallerup Sogn"/>
    <s v="Skallerup Kirke"/>
    <s v="Kirke"/>
  </r>
  <r>
    <x v="5"/>
    <x v="60"/>
    <s v="8469"/>
    <s v="Vennebjerg Sogn"/>
    <s v="Vennebjerg Kirke"/>
    <s v="Kirke"/>
  </r>
  <r>
    <x v="5"/>
    <x v="60"/>
    <s v="8470"/>
    <s v="Rubjerg Sogn"/>
    <s v="Rubjerg Kirke"/>
    <s v="Kirke"/>
  </r>
  <r>
    <x v="5"/>
    <x v="60"/>
    <s v="8471"/>
    <s v="Lyngby Sogn"/>
    <s v="Lyngby Kirke"/>
    <s v="Kirke"/>
  </r>
  <r>
    <x v="5"/>
    <x v="60"/>
    <s v="8472"/>
    <s v="Jelstrup Sogn"/>
    <s v="Jelstrup Kirke"/>
    <s v="Kirke"/>
  </r>
  <r>
    <x v="5"/>
    <x v="60"/>
    <s v="8473"/>
    <s v="Mårup Sogn"/>
    <s v="Lønstrup Kirke"/>
    <s v="Filialkirke"/>
  </r>
  <r>
    <x v="5"/>
    <x v="60"/>
    <s v="8473"/>
    <s v="Mårup Sogn"/>
    <s v="Mårup Kirke"/>
    <s v="Kirke"/>
  </r>
  <r>
    <x v="5"/>
    <x v="60"/>
    <s v="8474"/>
    <s v="Harritslev Sogn"/>
    <s v="Harritslev Kirke"/>
    <s v="Kirke"/>
  </r>
  <r>
    <x v="5"/>
    <x v="60"/>
    <s v="8475"/>
    <s v="Rakkeby Sogn"/>
    <s v="Rakkeby Kirke"/>
    <s v="Kirke"/>
  </r>
  <r>
    <x v="5"/>
    <x v="60"/>
    <s v="9101"/>
    <s v="Bistrup Sogn"/>
    <s v="Bistrup Kirke"/>
    <s v="Kirke"/>
  </r>
  <r>
    <x v="5"/>
    <x v="61"/>
    <s v="8279"/>
    <s v="Brorstrup Sogn"/>
    <s v="Brorstrup Kirke"/>
    <s v="Kirke"/>
  </r>
  <r>
    <x v="5"/>
    <x v="61"/>
    <s v="8280"/>
    <s v="Ravnkilde Sogn"/>
    <s v="Ravnkilde Kirke"/>
    <s v="Kirke"/>
  </r>
  <r>
    <x v="5"/>
    <x v="61"/>
    <s v="8289"/>
    <s v="Kongens Tisted Sogn"/>
    <s v="Kongens Tisted Kirke"/>
    <s v="Kirke"/>
  </r>
  <r>
    <x v="5"/>
    <x v="61"/>
    <s v="8290"/>
    <s v="Binderup Sogn"/>
    <s v="Binderup Kirke"/>
    <s v="Kirke"/>
  </r>
  <r>
    <x v="5"/>
    <x v="61"/>
    <s v="8291"/>
    <s v="Durup Sogn"/>
    <s v="Durup Kirke"/>
    <s v="Kirke"/>
  </r>
  <r>
    <x v="5"/>
    <x v="61"/>
    <s v="8292"/>
    <s v="Rørbæk Sogn"/>
    <s v="Rørbæk Kirke"/>
    <s v="Kirke"/>
  </r>
  <r>
    <x v="5"/>
    <x v="61"/>
    <s v="8293"/>
    <s v="Grynderup Sogn"/>
    <s v="Grynderup Kirke"/>
    <s v="Kirke"/>
  </r>
  <r>
    <x v="5"/>
    <x v="61"/>
    <s v="8294"/>
    <s v="Skibsted Sogn"/>
    <s v="Skibsted Kirke"/>
    <s v="Kirke"/>
  </r>
  <r>
    <x v="5"/>
    <x v="61"/>
    <s v="8295"/>
    <s v="Lyngby Sogn"/>
    <s v="Lyngby Kirke"/>
    <s v="Kirke"/>
  </r>
  <r>
    <x v="5"/>
    <x v="61"/>
    <s v="8296"/>
    <s v="Store Brøndum Sogn"/>
    <s v="Store Brøndum Kirke"/>
    <s v="Kirke"/>
  </r>
  <r>
    <x v="5"/>
    <x v="61"/>
    <s v="8297"/>
    <s v="Siem Sogn"/>
    <s v="Siem Kirke"/>
    <s v="Kirke"/>
  </r>
  <r>
    <x v="5"/>
    <x v="61"/>
    <s v="8298"/>
    <s v="Torup Sogn"/>
    <s v="Torup Kirke"/>
    <s v="Kirke"/>
  </r>
  <r>
    <x v="5"/>
    <x v="61"/>
    <s v="8299"/>
    <s v="Gerding Sogn"/>
    <s v="Gerding Kirke"/>
    <s v="Kirke"/>
  </r>
  <r>
    <x v="5"/>
    <x v="61"/>
    <s v="8300"/>
    <s v="Blenstrup Sogn"/>
    <s v="Blenstrup Kirke"/>
    <s v="Kirke"/>
  </r>
  <r>
    <x v="5"/>
    <x v="61"/>
    <s v="8301"/>
    <s v="Skørping Sogn"/>
    <s v="Skørping Kirke"/>
    <s v="Kirke"/>
  </r>
  <r>
    <x v="5"/>
    <x v="61"/>
    <s v="8301"/>
    <s v="Skørping Sogn"/>
    <s v="Skørping Nykirke"/>
    <s v="Kirke"/>
  </r>
  <r>
    <x v="5"/>
    <x v="61"/>
    <s v="8302"/>
    <s v="Fræer Sogn"/>
    <s v="Fræer Kirke"/>
    <s v="Kirke"/>
  </r>
  <r>
    <x v="5"/>
    <x v="61"/>
    <s v="8334"/>
    <s v="Øster Hornum Sogn"/>
    <s v="Øster Hornum Kirke"/>
    <s v="Kirke"/>
  </r>
  <r>
    <x v="5"/>
    <x v="61"/>
    <s v="8335"/>
    <s v="Støvring Sogn"/>
    <s v="Støvring Kirke"/>
    <s v="Kirke"/>
  </r>
  <r>
    <x v="5"/>
    <x v="61"/>
    <s v="8336"/>
    <s v="Gravlev Sogn"/>
    <s v="Gravlev Kirke"/>
    <s v="Kirke"/>
  </r>
  <r>
    <x v="5"/>
    <x v="61"/>
    <s v="8337"/>
    <s v="Aarestrup Sogn"/>
    <s v="Aarestrup Kirke"/>
    <s v="Kirke"/>
  </r>
  <r>
    <x v="5"/>
    <x v="61"/>
    <s v="8338"/>
    <s v="Haverslev Sogn"/>
    <s v="Haverslev Kirke"/>
    <s v="Kirke"/>
  </r>
  <r>
    <x v="5"/>
    <x v="61"/>
    <s v="8339"/>
    <s v="Sønderup Sogn"/>
    <s v="Sønderup Kirke"/>
    <s v="Kirke"/>
  </r>
  <r>
    <x v="5"/>
    <x v="61"/>
    <s v="8340"/>
    <s v="Suldrup Sogn"/>
    <s v="Suldrup Kirke"/>
    <s v="Kirke"/>
  </r>
  <r>
    <x v="5"/>
    <x v="61"/>
    <s v="8341"/>
    <s v="Veggerby Sogn"/>
    <s v="Veggerby Kirke"/>
    <s v="Kirke"/>
  </r>
  <r>
    <x v="5"/>
    <x v="61"/>
    <s v="8346"/>
    <s v="Bælum Sogn"/>
    <s v="Bælum Kirke"/>
    <s v="Kirke"/>
  </r>
  <r>
    <x v="5"/>
    <x v="61"/>
    <s v="8347"/>
    <s v="Solbjerg Sogn"/>
    <s v="Solbjerg Kirke"/>
    <s v="Kirke"/>
  </r>
  <r>
    <x v="5"/>
    <x v="61"/>
    <s v="9065"/>
    <s v="Stenild Sogn"/>
    <s v="Stenild Kirke"/>
    <s v="Kirke"/>
  </r>
  <r>
    <x v="5"/>
    <x v="61"/>
    <s v="9217"/>
    <s v="Terndrup Sogn"/>
    <s v="Terndrup Kirke"/>
    <s v="Kirke"/>
  </r>
  <r>
    <x v="5"/>
    <x v="61"/>
    <s v="9238"/>
    <s v="Sørup Sogn"/>
    <s v="Sørup Kirke"/>
    <s v="Kirke"/>
  </r>
  <r>
    <x v="6"/>
    <x v="62"/>
    <s v="8497"/>
    <s v="Tårup Sogn"/>
    <s v="Tårup Kirke"/>
    <s v="Kirke"/>
  </r>
  <r>
    <x v="6"/>
    <x v="62"/>
    <s v="8498"/>
    <s v="Kvols Sogn"/>
    <s v="Kvols Kirke"/>
    <s v="Kirke"/>
  </r>
  <r>
    <x v="6"/>
    <x v="62"/>
    <s v="8500"/>
    <s v="Stoholm Sogn"/>
    <s v="Stoholm Kirke"/>
    <s v="Filialkirke"/>
  </r>
  <r>
    <x v="6"/>
    <x v="62"/>
    <s v="8500"/>
    <s v="Stoholm Sogn"/>
    <s v="Feldingbjerg Kirke"/>
    <s v="Kirke"/>
  </r>
  <r>
    <x v="6"/>
    <x v="62"/>
    <s v="8501"/>
    <s v="Sparkær Sogn"/>
    <s v="Sparkær Kirke"/>
    <s v="Kirke"/>
  </r>
  <r>
    <x v="6"/>
    <x v="62"/>
    <s v="8502"/>
    <s v="Gammelstrup Sogn"/>
    <s v="Gammelstrup Kirke"/>
    <s v="Kirke"/>
  </r>
  <r>
    <x v="6"/>
    <x v="62"/>
    <s v="8503"/>
    <s v="Daugbjerg Sogn"/>
    <s v="Daugbjerg Kirke"/>
    <s v="Kirke"/>
  </r>
  <r>
    <x v="6"/>
    <x v="62"/>
    <s v="8504"/>
    <s v="Mønsted Sogn"/>
    <s v="Mønsted Kirke"/>
    <s v="Kirke"/>
  </r>
  <r>
    <x v="6"/>
    <x v="62"/>
    <s v="8505"/>
    <s v="Smollerup Sogn"/>
    <s v="Smollerup Kirke"/>
    <s v="Kirke"/>
  </r>
  <r>
    <x v="6"/>
    <x v="62"/>
    <s v="8506"/>
    <s v="Vridsted Sogn"/>
    <s v="Vridsted Kirke"/>
    <s v="Kirke"/>
  </r>
  <r>
    <x v="6"/>
    <x v="62"/>
    <s v="8507"/>
    <s v="Fly Sogn"/>
    <s v="Fly Kirke"/>
    <s v="Kirke"/>
  </r>
  <r>
    <x v="6"/>
    <x v="62"/>
    <s v="8508"/>
    <s v="Vroue Sogn"/>
    <s v="Vroue Kirke"/>
    <s v="Kirke"/>
  </r>
  <r>
    <x v="6"/>
    <x v="62"/>
    <s v="8509"/>
    <s v="Resen Sogn"/>
    <s v="Resen Kirke"/>
    <s v="Kirke"/>
  </r>
  <r>
    <x v="6"/>
    <x v="62"/>
    <s v="8534"/>
    <s v="Dollerup Sogn"/>
    <s v="Hald Ege Kirke"/>
    <s v="Filialkirke"/>
  </r>
  <r>
    <x v="6"/>
    <x v="62"/>
    <s v="8534"/>
    <s v="Dollerup Sogn"/>
    <s v="Dollerup Kirke"/>
    <s v="Kirke"/>
  </r>
  <r>
    <x v="6"/>
    <x v="62"/>
    <s v="8535"/>
    <s v="Finderup Sogn"/>
    <s v="Finderup Kirke"/>
    <s v="Kirke"/>
  </r>
  <r>
    <x v="6"/>
    <x v="62"/>
    <s v="8536"/>
    <s v="Ravnstrup Sogn"/>
    <s v="Ravnstrup Kirke"/>
    <s v="Kirke"/>
  </r>
  <r>
    <x v="6"/>
    <x v="62"/>
    <s v="8563"/>
    <s v="Vorde Sogn"/>
    <s v="Vorde Kirke"/>
    <s v="Kirke"/>
  </r>
  <r>
    <x v="6"/>
    <x v="62"/>
    <s v="8564"/>
    <s v="Fiskbæk Sogn"/>
    <s v="Fiskbæk Kirke"/>
    <s v="Kirke"/>
  </r>
  <r>
    <x v="6"/>
    <x v="62"/>
    <s v="8565"/>
    <s v="Romlund Sogn"/>
    <s v="Romlund Kirke"/>
    <s v="Kirke"/>
  </r>
  <r>
    <x v="6"/>
    <x v="62"/>
    <s v="8591"/>
    <s v="Lysgård Sogn"/>
    <s v="Lysgård Kirke"/>
    <s v="Kirke"/>
  </r>
  <r>
    <x v="6"/>
    <x v="62"/>
    <s v="8592"/>
    <s v="Sjørslev Sogn"/>
    <s v="Sjørslev Kirke"/>
    <s v="Kirke"/>
  </r>
  <r>
    <x v="6"/>
    <x v="62"/>
    <s v="8593"/>
    <s v="Almind Sogn"/>
    <s v="Almind Kirke"/>
    <s v="Kirke"/>
  </r>
  <r>
    <x v="6"/>
    <x v="62"/>
    <s v="8613"/>
    <s v="Viborg Domsogn"/>
    <s v="Viborg Domkirke"/>
    <s v="Kirke"/>
  </r>
  <r>
    <x v="6"/>
    <x v="62"/>
    <s v="8613"/>
    <s v="Viborg Domsogn"/>
    <s v="Gråbrødre Klosterkirke"/>
    <s v="Filialkirke"/>
  </r>
  <r>
    <x v="6"/>
    <x v="62"/>
    <s v="8613"/>
    <s v="Viborg Domsogn"/>
    <s v="Viborg kirkegårds kapel"/>
    <s v="Kirke"/>
  </r>
  <r>
    <x v="6"/>
    <x v="62"/>
    <s v="8614"/>
    <s v="Søndre Sogn"/>
    <s v="Viborg Sygehuskapel"/>
    <s v="Kirke"/>
  </r>
  <r>
    <x v="6"/>
    <x v="62"/>
    <s v="8614"/>
    <s v="Søndre Sogn"/>
    <s v="Kapel, Regionshospitalet Viborg"/>
    <s v="Kirke"/>
  </r>
  <r>
    <x v="6"/>
    <x v="62"/>
    <s v="8614"/>
    <s v="Søndre Sogn"/>
    <s v="Sortebrødre Kirke"/>
    <s v="Kirke"/>
  </r>
  <r>
    <x v="6"/>
    <x v="62"/>
    <s v="8615"/>
    <s v="Asmild Sogn"/>
    <s v="Asmild Kirke"/>
    <s v="Kirke"/>
  </r>
  <r>
    <x v="6"/>
    <x v="62"/>
    <s v="8616"/>
    <s v="Tapdrup Sogn"/>
    <s v="Tapdrup Kirke"/>
    <s v="Kirke"/>
  </r>
  <r>
    <x v="6"/>
    <x v="62"/>
    <s v="8617"/>
    <s v="Vinkel Sogn"/>
    <s v="Vinkel Kirke"/>
    <s v="Kirke"/>
  </r>
  <r>
    <x v="6"/>
    <x v="62"/>
    <s v="8618"/>
    <s v="Sønder Rind Sogn"/>
    <s v="Sønder Rind Kirke"/>
    <s v="Kirke"/>
  </r>
  <r>
    <x v="6"/>
    <x v="62"/>
    <s v="9079"/>
    <s v="Vestervang Sogn"/>
    <s v="Vestervang Kirke"/>
    <s v="Kirke"/>
  </r>
  <r>
    <x v="6"/>
    <x v="62"/>
    <s v="9126"/>
    <s v="Søndermark Sogn"/>
    <s v="Søndermarkskirken"/>
    <s v="Kirke"/>
  </r>
  <r>
    <x v="6"/>
    <x v="62"/>
    <s v="9149"/>
    <s v="Houlkær Sogn"/>
    <s v="Houlkær Kirke"/>
    <s v="Kirke"/>
  </r>
  <r>
    <x v="6"/>
    <x v="62"/>
    <s v="9168"/>
    <s v="Iglsø Sogn"/>
    <s v="Iglsø Kirke"/>
    <s v="Kirke"/>
  </r>
  <r>
    <x v="6"/>
    <x v="63"/>
    <s v="8484"/>
    <s v="Sahl Sogn"/>
    <s v="Sahl Kirke"/>
    <s v="Kirke"/>
  </r>
  <r>
    <x v="6"/>
    <x v="63"/>
    <s v="8485"/>
    <s v="Gullev Sogn"/>
    <s v="Gullev Kirke"/>
    <s v="Kirke"/>
  </r>
  <r>
    <x v="6"/>
    <x v="63"/>
    <s v="8523"/>
    <s v="Hvam Sogn"/>
    <s v="Hvam Kirke"/>
    <s v="Kirke"/>
  </r>
  <r>
    <x v="6"/>
    <x v="63"/>
    <s v="8525"/>
    <s v="Hersom Sogn"/>
    <s v="Hersom Kirke"/>
    <s v="Kirke"/>
  </r>
  <r>
    <x v="6"/>
    <x v="63"/>
    <s v="8526"/>
    <s v="Vester Bjerregrav Sogn"/>
    <s v="Vester Bjerregrav Kirke"/>
    <s v="Kirke"/>
  </r>
  <r>
    <x v="6"/>
    <x v="63"/>
    <s v="8527"/>
    <s v="Klejtrup Sogn"/>
    <s v="Klejtrup Kirke"/>
    <s v="Kirke"/>
  </r>
  <r>
    <x v="6"/>
    <x v="63"/>
    <s v="8528"/>
    <s v="Vester Tostrup Sogn"/>
    <s v="Tostrup Kirke"/>
    <s v="Kirke"/>
  </r>
  <r>
    <x v="6"/>
    <x v="63"/>
    <s v="8529"/>
    <s v="Roum Sogn"/>
    <s v="Roum Kirke"/>
    <s v="Kirke"/>
  </r>
  <r>
    <x v="6"/>
    <x v="63"/>
    <s v="8530"/>
    <s v="Låstrup Sogn"/>
    <s v="Låstrup Kirke"/>
    <s v="Kirke"/>
  </r>
  <r>
    <x v="6"/>
    <x v="63"/>
    <s v="8531"/>
    <s v="Skals Sogn"/>
    <s v="Skals Kirke"/>
    <s v="Kirke"/>
  </r>
  <r>
    <x v="6"/>
    <x v="63"/>
    <s v="8532"/>
    <s v="Ulbjerg Sogn"/>
    <s v="Ulbjerg Kirke"/>
    <s v="Kirke"/>
  </r>
  <r>
    <x v="6"/>
    <x v="63"/>
    <s v="8533"/>
    <s v="Lynderup Sogn"/>
    <s v="Lynderup Kirke"/>
    <s v="Kirke"/>
  </r>
  <r>
    <x v="6"/>
    <x v="63"/>
    <s v="8566"/>
    <s v="Rødding Sogn"/>
    <s v="Rødding Kirke"/>
    <s v="Kirke"/>
  </r>
  <r>
    <x v="6"/>
    <x v="63"/>
    <s v="8567"/>
    <s v="Løvel Sogn"/>
    <s v="Løvel Kirke"/>
    <s v="Kirke"/>
  </r>
  <r>
    <x v="6"/>
    <x v="63"/>
    <s v="8568"/>
    <s v="Pederstrup Sogn"/>
    <s v="Pederstrup Kirke"/>
    <s v="Kirke"/>
  </r>
  <r>
    <x v="6"/>
    <x v="63"/>
    <s v="8569"/>
    <s v="Vammen Sogn"/>
    <s v="Vammen Kirke"/>
    <s v="Kirke"/>
  </r>
  <r>
    <x v="6"/>
    <x v="63"/>
    <s v="8570"/>
    <s v="Lindum Sogn"/>
    <s v="Lindum Kirke"/>
    <s v="Kirke"/>
  </r>
  <r>
    <x v="6"/>
    <x v="63"/>
    <s v="8571"/>
    <s v="Bigum Sogn"/>
    <s v="Bigum Kirke"/>
    <s v="Kirke"/>
  </r>
  <r>
    <x v="6"/>
    <x v="63"/>
    <s v="8602"/>
    <s v="Frederiks Sogn"/>
    <s v="Frederiks Kirke"/>
    <s v="Kirke"/>
  </r>
  <r>
    <x v="6"/>
    <x v="63"/>
    <s v="8603"/>
    <s v="Karup Sogn"/>
    <s v="Karup Kirke"/>
    <s v="Kirke"/>
  </r>
  <r>
    <x v="6"/>
    <x v="63"/>
    <s v="8619"/>
    <s v="Vindum Sogn"/>
    <s v="Vindum Kirke"/>
    <s v="Kirke"/>
  </r>
  <r>
    <x v="6"/>
    <x v="63"/>
    <s v="8619"/>
    <s v="Vindum Sogn"/>
    <s v="Brandstrup Kirke"/>
    <s v="Kirke"/>
  </r>
  <r>
    <x v="6"/>
    <x v="63"/>
    <s v="8621"/>
    <s v="Mammen Sogn"/>
    <s v="Mammen Kirke"/>
    <s v="Kirke"/>
  </r>
  <r>
    <x v="6"/>
    <x v="63"/>
    <s v="8622"/>
    <s v="Bjerringbro Sogn"/>
    <s v="Bjerringbro Kirke"/>
    <s v="Kirke"/>
  </r>
  <r>
    <x v="6"/>
    <x v="63"/>
    <s v="8624"/>
    <s v="Lee Sogn"/>
    <s v="Lee Kirke"/>
    <s v="Kirke"/>
  </r>
  <r>
    <x v="6"/>
    <x v="63"/>
    <s v="8625"/>
    <s v="Hjorthede Sogn"/>
    <s v="Hjorthede Kirke"/>
    <s v="Kirke"/>
  </r>
  <r>
    <x v="6"/>
    <x v="63"/>
    <s v="8627"/>
    <s v="Skjern Sogn"/>
    <s v="Skjern Kirke"/>
    <s v="Kirke"/>
  </r>
  <r>
    <x v="6"/>
    <x v="63"/>
    <s v="8634"/>
    <s v="Tjele Sogn"/>
    <s v="Tjele Kirke"/>
    <s v="Kirke"/>
  </r>
  <r>
    <x v="6"/>
    <x v="63"/>
    <s v="8635"/>
    <s v="Nørre Vinge Sogn"/>
    <s v="Nørre Vinge Kirke"/>
    <s v="Kirke"/>
  </r>
  <r>
    <x v="6"/>
    <x v="63"/>
    <s v="8636"/>
    <s v="Ørum Sogn"/>
    <s v="Ørum Kirke"/>
    <s v="Kirke"/>
  </r>
  <r>
    <x v="6"/>
    <x v="63"/>
    <s v="8637"/>
    <s v="Viskum Sogn"/>
    <s v="Viskum Kirke"/>
    <s v="Kirke"/>
  </r>
  <r>
    <x v="6"/>
    <x v="63"/>
    <s v="8638"/>
    <s v="Vejrum Sogn"/>
    <s v="Vejrum Kirke"/>
    <s v="Kirke"/>
  </r>
  <r>
    <x v="6"/>
    <x v="63"/>
    <s v="8639"/>
    <s v="Vorning Sogn"/>
    <s v="Vorning Kirke"/>
    <s v="Kirke"/>
  </r>
  <r>
    <x v="6"/>
    <x v="63"/>
    <s v="8640"/>
    <s v="Kvorning Sogn"/>
    <s v="Kvorning Kirke"/>
    <s v="Kirke"/>
  </r>
  <r>
    <x v="6"/>
    <x v="63"/>
    <s v="8641"/>
    <s v="Hammershøj Sogn"/>
    <s v="Hammershøj Kirke"/>
    <s v="Kirke"/>
  </r>
  <r>
    <x v="6"/>
    <x v="63"/>
    <s v="9214"/>
    <s v="Bjerring Sogn"/>
    <s v="Bjerring Kirke"/>
    <s v="Kirke"/>
  </r>
  <r>
    <x v="6"/>
    <x v="63"/>
    <s v="9215"/>
    <s v="Hjermind Sogn"/>
    <s v="Hjermind Kirke"/>
    <s v="Kirke"/>
  </r>
  <r>
    <x v="6"/>
    <x v="63"/>
    <s v="9355"/>
    <s v="Højbjerg-Elsborg Sogn"/>
    <s v="Elsborg Kirke"/>
    <s v="Kirke"/>
  </r>
  <r>
    <x v="6"/>
    <x v="63"/>
    <s v="9355"/>
    <s v="Højbjerg-Elsborg Sogn"/>
    <s v="Højbjerg Kirke"/>
    <s v="Kirke"/>
  </r>
  <r>
    <x v="6"/>
    <x v="64"/>
    <s v="8540"/>
    <s v="Roslev Sogn"/>
    <s v="Roslev Kirke"/>
    <s v="Kirke"/>
  </r>
  <r>
    <x v="6"/>
    <x v="64"/>
    <s v="8541"/>
    <s v="Rybjerg Sogn"/>
    <s v="Rybjerg Kirke"/>
    <s v="Kirke"/>
  </r>
  <r>
    <x v="6"/>
    <x v="64"/>
    <s v="8545"/>
    <s v="Vile Sogn"/>
    <s v="Vile Kirke"/>
    <s v="Kirke"/>
  </r>
  <r>
    <x v="6"/>
    <x v="64"/>
    <s v="8546"/>
    <s v="Glyngøre Sogn"/>
    <s v="Glyngøre Kirke"/>
    <s v="Kirke"/>
  </r>
  <r>
    <x v="6"/>
    <x v="64"/>
    <s v="8547"/>
    <s v="Sæby Sogn"/>
    <s v="Sæby Kirke"/>
    <s v="Kirke"/>
  </r>
  <r>
    <x v="6"/>
    <x v="64"/>
    <s v="8548"/>
    <s v="Fur Sogn"/>
    <s v="Sankt Mortens Kirke"/>
    <s v="Kirke"/>
  </r>
  <r>
    <x v="6"/>
    <x v="64"/>
    <s v="8549"/>
    <s v="Rødding Sogn"/>
    <s v="Rødding Kirke"/>
    <s v="Kirke"/>
  </r>
  <r>
    <x v="6"/>
    <x v="64"/>
    <s v="8550"/>
    <s v="Lihme Sogn"/>
    <s v="Lihme Kirke"/>
    <s v="Kirke"/>
  </r>
  <r>
    <x v="6"/>
    <x v="64"/>
    <s v="8551"/>
    <s v="Balling Sogn"/>
    <s v="Balling Kirke"/>
    <s v="Kirke"/>
  </r>
  <r>
    <x v="6"/>
    <x v="64"/>
    <s v="8552"/>
    <s v="Volling Sogn"/>
    <s v="Volling Kirke"/>
    <s v="Kirke"/>
  </r>
  <r>
    <x v="6"/>
    <x v="64"/>
    <s v="8553"/>
    <s v="Krejbjerg Sogn"/>
    <s v="Krejbjerg Kirke"/>
    <s v="Kirke"/>
  </r>
  <r>
    <x v="6"/>
    <x v="64"/>
    <s v="8554"/>
    <s v="Håsum Sogn"/>
    <s v="Håsum Kirke"/>
    <s v="Kirke"/>
  </r>
  <r>
    <x v="6"/>
    <x v="64"/>
    <s v="8555"/>
    <s v="Ramsing Sogn"/>
    <s v="Ramsing Kirke"/>
    <s v="Kirke"/>
  </r>
  <r>
    <x v="6"/>
    <x v="64"/>
    <s v="8556"/>
    <s v="Lem Sogn"/>
    <s v="Lem Kirke"/>
    <s v="Kirke"/>
  </r>
  <r>
    <x v="6"/>
    <x v="64"/>
    <s v="8557"/>
    <s v="Vejby Sogn"/>
    <s v="Vejby Kirke"/>
    <s v="Kirke"/>
  </r>
  <r>
    <x v="6"/>
    <x v="64"/>
    <s v="8577"/>
    <s v="Oddense Sogn"/>
    <s v="Oddense Kirke"/>
    <s v="Kirke"/>
  </r>
  <r>
    <x v="6"/>
    <x v="64"/>
    <s v="8578"/>
    <s v="Otting Sogn"/>
    <s v="Otting Kirke"/>
    <s v="Kirke"/>
  </r>
  <r>
    <x v="6"/>
    <x v="64"/>
    <s v="8585"/>
    <s v="Grinderslev Sogn"/>
    <s v="Grinderslev Kirke"/>
    <s v="Kirke"/>
  </r>
  <r>
    <x v="6"/>
    <x v="64"/>
    <s v="8586"/>
    <s v="Grønning Sogn"/>
    <s v="Grønning Kirke"/>
    <s v="Kirke"/>
  </r>
  <r>
    <x v="6"/>
    <x v="64"/>
    <s v="8587"/>
    <s v="Thise Sogn"/>
    <s v="Thise Kirke"/>
    <s v="Kirke"/>
  </r>
  <r>
    <x v="6"/>
    <x v="64"/>
    <s v="9326"/>
    <s v="Brøndum-Hvidbjerg Sogn"/>
    <s v="Brøndum Kirke"/>
    <s v="Kirke"/>
  </r>
  <r>
    <x v="6"/>
    <x v="64"/>
    <s v="9326"/>
    <s v="Brøndum-Hvidbjerg Sogn"/>
    <s v="Hvidbjerg Kirke"/>
    <s v="Kirke"/>
  </r>
  <r>
    <x v="6"/>
    <x v="64"/>
    <s v="9329"/>
    <s v="Jebjerg-Lyby Sogn"/>
    <s v="Lyby Kirke"/>
    <s v="Kirke"/>
  </r>
  <r>
    <x v="6"/>
    <x v="64"/>
    <s v="9329"/>
    <s v="Jebjerg-Lyby Sogn"/>
    <s v="Jebjerg Kirke"/>
    <s v="Kirke"/>
  </r>
  <r>
    <x v="6"/>
    <x v="64"/>
    <s v="9354"/>
    <s v="Fursund Sogn"/>
    <s v="Åsted Kirke"/>
    <s v="Kirke"/>
  </r>
  <r>
    <x v="6"/>
    <x v="64"/>
    <s v="9354"/>
    <s v="Fursund Sogn"/>
    <s v="Selde Kirke"/>
    <s v="Kirke"/>
  </r>
  <r>
    <x v="6"/>
    <x v="64"/>
    <s v="9354"/>
    <s v="Fursund Sogn"/>
    <s v="Thorum Kirke"/>
    <s v="Kirke"/>
  </r>
  <r>
    <x v="6"/>
    <x v="64"/>
    <s v="9354"/>
    <s v="Fursund Sogn"/>
    <s v="Junget Kirke"/>
    <s v="Kirke"/>
  </r>
  <r>
    <x v="6"/>
    <x v="64"/>
    <s v="9356"/>
    <s v="Durup-Tøndering-Nautrup Sogn"/>
    <s v="Durup Kirke"/>
    <s v="Kirke"/>
  </r>
  <r>
    <x v="6"/>
    <x v="64"/>
    <s v="9356"/>
    <s v="Durup-Tøndering-Nautrup Sogn"/>
    <s v="Nautrup Kirke"/>
    <s v="Kirke"/>
  </r>
  <r>
    <x v="6"/>
    <x v="64"/>
    <s v="9356"/>
    <s v="Durup-Tøndering-Nautrup Sogn"/>
    <s v="Tøndering Kirke"/>
    <s v="Kirke"/>
  </r>
  <r>
    <x v="6"/>
    <x v="64"/>
    <s v="9362"/>
    <s v="Hjerk-Harre Sogn"/>
    <s v="Harre Kirke"/>
    <s v="Kirke"/>
  </r>
  <r>
    <x v="6"/>
    <x v="64"/>
    <s v="9362"/>
    <s v="Hjerk-Harre Sogn"/>
    <s v="Hjerk Kirke"/>
    <s v="Kirke"/>
  </r>
  <r>
    <x v="6"/>
    <x v="65"/>
    <s v="8499"/>
    <s v="Kobberup Sogn"/>
    <s v="Kobberup Kirke"/>
    <s v="Kirke"/>
  </r>
  <r>
    <x v="6"/>
    <x v="65"/>
    <s v="8558"/>
    <s v="Højslev Sogn"/>
    <s v="Højslev Kirke"/>
    <s v="Kirke"/>
  </r>
  <r>
    <x v="6"/>
    <x v="65"/>
    <s v="8559"/>
    <s v="Dommerby Sogn"/>
    <s v="Dommerby Kirke"/>
    <s v="Kirke"/>
  </r>
  <r>
    <x v="6"/>
    <x v="65"/>
    <s v="8560"/>
    <s v="Lundø Sogn"/>
    <s v="Lundø Kirke"/>
    <s v="Kirke"/>
  </r>
  <r>
    <x v="6"/>
    <x v="65"/>
    <s v="8561"/>
    <s v="Ørslevkloster Sogn"/>
    <s v="Ørslevkloster Kirke"/>
    <s v="Kirke"/>
  </r>
  <r>
    <x v="6"/>
    <x v="65"/>
    <s v="8562"/>
    <s v="Ørum Sogn"/>
    <s v="Ørum Kirke"/>
    <s v="Kirke"/>
  </r>
  <r>
    <x v="6"/>
    <x v="65"/>
    <s v="8572"/>
    <s v="Skive Sogn"/>
    <s v="Folkekirkens Kapel"/>
    <s v="Kirke"/>
  </r>
  <r>
    <x v="6"/>
    <x v="65"/>
    <s v="8572"/>
    <s v="Skive Sogn"/>
    <s v="Skive Kirke"/>
    <s v="Kirke"/>
  </r>
  <r>
    <x v="6"/>
    <x v="65"/>
    <s v="8572"/>
    <s v="Skive Sogn"/>
    <s v="Vor Frue Kirke"/>
    <s v="Filialkirke"/>
  </r>
  <r>
    <x v="6"/>
    <x v="65"/>
    <s v="8573"/>
    <s v="Resen Sogn"/>
    <s v="Resen Kirke"/>
    <s v="Kirke"/>
  </r>
  <r>
    <x v="6"/>
    <x v="65"/>
    <s v="8574"/>
    <s v="Hem Sogn"/>
    <s v="Hem Kirke"/>
    <s v="Kirke"/>
  </r>
  <r>
    <x v="6"/>
    <x v="65"/>
    <s v="8575"/>
    <s v="Hindborg Sogn"/>
    <s v="Hindborg Kirke"/>
    <s v="Kirke"/>
  </r>
  <r>
    <x v="6"/>
    <x v="65"/>
    <s v="8576"/>
    <s v="Dølby Sogn"/>
    <s v="Dølby Kirke"/>
    <s v="Kirke"/>
  </r>
  <r>
    <x v="6"/>
    <x v="65"/>
    <s v="9085"/>
    <s v="Egeris Sogn"/>
    <s v="Egeris Kirke"/>
    <s v="Kirke"/>
  </r>
  <r>
    <x v="6"/>
    <x v="65"/>
    <s v="9199"/>
    <s v="Estvad-Rønbjerg Sogn"/>
    <s v="Rønbjerg Kirke"/>
    <s v="Kirke"/>
  </r>
  <r>
    <x v="6"/>
    <x v="65"/>
    <s v="9199"/>
    <s v="Estvad-Rønbjerg Sogn"/>
    <s v="Estvad Kirke"/>
    <s v="Kirke"/>
  </r>
  <r>
    <x v="6"/>
    <x v="66"/>
    <s v="8269"/>
    <s v="Aars Sogn"/>
    <s v="Aars Kirke"/>
    <s v="Kirke"/>
  </r>
  <r>
    <x v="6"/>
    <x v="66"/>
    <s v="8270"/>
    <s v="Havbro Sogn"/>
    <s v="Havbro Kirke"/>
    <s v="Kirke"/>
  </r>
  <r>
    <x v="6"/>
    <x v="66"/>
    <s v="8271"/>
    <s v="Vester Hornum Sogn"/>
    <s v="Vester Hornum Kirke"/>
    <s v="Kirke"/>
  </r>
  <r>
    <x v="6"/>
    <x v="66"/>
    <s v="8272"/>
    <s v="Flejsborg Sogn"/>
    <s v="Flejsborg Kirke"/>
    <s v="Kirke"/>
  </r>
  <r>
    <x v="6"/>
    <x v="66"/>
    <s v="8273"/>
    <s v="Ulstrup Sogn"/>
    <s v="Ulstrup Kirke"/>
    <s v="Kirke"/>
  </r>
  <r>
    <x v="6"/>
    <x v="66"/>
    <s v="8274"/>
    <s v="Gundersted Sogn"/>
    <s v="Gundersted Kirke"/>
    <s v="Kirke"/>
  </r>
  <r>
    <x v="6"/>
    <x v="66"/>
    <s v="8275"/>
    <s v="Blære Sogn"/>
    <s v="Blære Kirke"/>
    <s v="Kirke"/>
  </r>
  <r>
    <x v="6"/>
    <x v="66"/>
    <s v="8277"/>
    <s v="Skivum Sogn"/>
    <s v="Skivum Kirke"/>
    <s v="Kirke"/>
  </r>
  <r>
    <x v="6"/>
    <x v="66"/>
    <s v="8278"/>
    <s v="Giver Sogn"/>
    <s v="Giver Kirke"/>
    <s v="Kirke"/>
  </r>
  <r>
    <x v="6"/>
    <x v="66"/>
    <s v="8281"/>
    <s v="Strandby Sogn"/>
    <s v="Strandby Kirke"/>
    <s v="Kirke"/>
  </r>
  <r>
    <x v="6"/>
    <x v="66"/>
    <s v="8282"/>
    <s v="Farsø Sogn"/>
    <s v="Farsø Kirke"/>
    <s v="Kirke"/>
  </r>
  <r>
    <x v="6"/>
    <x v="66"/>
    <s v="8282"/>
    <s v="Farsø Sogn"/>
    <s v="Kapel, Aalborg Universitetshospital, Farsø"/>
    <s v="Kirke"/>
  </r>
  <r>
    <x v="6"/>
    <x v="66"/>
    <s v="8283"/>
    <s v="Ullits Sogn"/>
    <s v="Ullits Kirke"/>
    <s v="Kirke"/>
  </r>
  <r>
    <x v="6"/>
    <x v="66"/>
    <s v="8284"/>
    <s v="Fovlum Sogn"/>
    <s v="Fovlum Kirke"/>
    <s v="Kirke"/>
  </r>
  <r>
    <x v="6"/>
    <x v="66"/>
    <s v="8285"/>
    <s v="Louns Sogn"/>
    <s v="Louns Kirke"/>
    <s v="Kirke"/>
  </r>
  <r>
    <x v="6"/>
    <x v="66"/>
    <s v="8286"/>
    <s v="Alstrup Sogn"/>
    <s v="Alstrup Kirke"/>
    <s v="Kirke"/>
  </r>
  <r>
    <x v="6"/>
    <x v="66"/>
    <s v="8287"/>
    <s v="Gislum Sogn"/>
    <s v="Gislum Kirke"/>
    <s v="Kirke"/>
  </r>
  <r>
    <x v="6"/>
    <x v="66"/>
    <s v="8288"/>
    <s v="Vognsild Sogn"/>
    <s v="Vognsild Kirke"/>
    <s v="Kirke"/>
  </r>
  <r>
    <x v="6"/>
    <x v="66"/>
    <s v="8348"/>
    <s v="Løgstør Sogn"/>
    <s v="Løgstør Kirke"/>
    <s v="Kirke"/>
  </r>
  <r>
    <x v="6"/>
    <x v="66"/>
    <s v="8349"/>
    <s v="Løgsted Sogn"/>
    <s v="Løgsted Kirke"/>
    <s v="Kirke"/>
  </r>
  <r>
    <x v="6"/>
    <x v="66"/>
    <s v="8350"/>
    <s v="Ranum Sogn"/>
    <s v="Ranum Kirke"/>
    <s v="Kirke"/>
  </r>
  <r>
    <x v="6"/>
    <x v="66"/>
    <s v="8351"/>
    <s v="Malle Sogn"/>
    <s v="Malle Kirke"/>
    <s v="Kirke"/>
  </r>
  <r>
    <x v="6"/>
    <x v="66"/>
    <s v="8352"/>
    <s v="Overlade Sogn"/>
    <s v="Overlade Kirke"/>
    <s v="Kirke"/>
  </r>
  <r>
    <x v="6"/>
    <x v="66"/>
    <s v="8353"/>
    <s v="Hyllebjerg Sogn"/>
    <s v="Hyllebjerg Kirke"/>
    <s v="Kirke"/>
  </r>
  <r>
    <x v="6"/>
    <x v="66"/>
    <s v="8354"/>
    <s v="Vilsted Sogn"/>
    <s v="Vilsted Kirke"/>
    <s v="Kirke"/>
  </r>
  <r>
    <x v="6"/>
    <x v="66"/>
    <s v="8355"/>
    <s v="Vindblæs Sogn"/>
    <s v="Vindblæs Kirke"/>
    <s v="Kirke"/>
  </r>
  <r>
    <x v="6"/>
    <x v="66"/>
    <s v="8358"/>
    <s v="Næsborg Sogn"/>
    <s v="Næsborg Kirke"/>
    <s v="Kirke"/>
  </r>
  <r>
    <x v="6"/>
    <x v="66"/>
    <s v="8359"/>
    <s v="Kornum Sogn"/>
    <s v="Kornum Kirke"/>
    <s v="Kirke"/>
  </r>
  <r>
    <x v="6"/>
    <x v="66"/>
    <s v="8360"/>
    <s v="Salling Sogn"/>
    <s v="Salling Kirke"/>
    <s v="Kirke"/>
  </r>
  <r>
    <x v="6"/>
    <x v="66"/>
    <s v="8361"/>
    <s v="Oudrup Sogn"/>
    <s v="Oudrup Kirke"/>
    <s v="Kirke"/>
  </r>
  <r>
    <x v="6"/>
    <x v="66"/>
    <s v="8399"/>
    <s v="Aggersborg Sogn"/>
    <s v="Aggersborg Kirke"/>
    <s v="Kirke"/>
  </r>
  <r>
    <x v="6"/>
    <x v="66"/>
    <s v="8517"/>
    <s v="Vesterbølle Sogn"/>
    <s v="Vesterbølle Kirke"/>
    <s v="Kirke"/>
  </r>
  <r>
    <x v="6"/>
    <x v="66"/>
    <s v="8518"/>
    <s v="Østerbølle Sogn"/>
    <s v="Østerbølle Kirke"/>
    <s v="Kirke"/>
  </r>
  <r>
    <x v="6"/>
    <x v="66"/>
    <s v="8519"/>
    <s v="Gedsted Sogn"/>
    <s v="Gedsted Kirke"/>
    <s v="Kirke"/>
  </r>
  <r>
    <x v="6"/>
    <x v="66"/>
    <s v="8520"/>
    <s v="Fjelsø Sogn"/>
    <s v="Fjelsø Kirke"/>
    <s v="Kirke"/>
  </r>
  <r>
    <x v="6"/>
    <x v="66"/>
    <s v="8521"/>
    <s v="Simested Sogn"/>
    <s v="Simested Kirke"/>
    <s v="Kirke"/>
  </r>
  <r>
    <x v="6"/>
    <x v="66"/>
    <s v="8522"/>
    <s v="Testrup Sogn"/>
    <s v="Testrup Kirke"/>
    <s v="Kirke"/>
  </r>
  <r>
    <x v="6"/>
    <x v="66"/>
    <s v="8904"/>
    <s v="Aalestrup Sogn"/>
    <s v="Aalestrup Kirke"/>
    <s v="Kirke"/>
  </r>
  <r>
    <x v="6"/>
    <x v="66"/>
    <s v="9095"/>
    <s v="Svingelbjerg Sogn"/>
    <s v="Svingelbjerg Kirke"/>
    <s v="Kirke"/>
  </r>
  <r>
    <x v="6"/>
    <x v="67"/>
    <s v="8747"/>
    <s v="Vinding Sogn"/>
    <s v="Vinding Kirke"/>
    <s v="Kirke"/>
  </r>
  <r>
    <x v="6"/>
    <x v="67"/>
    <s v="8748"/>
    <s v="Vind Sogn"/>
    <s v="Vind Kirke"/>
    <s v="Kirke"/>
  </r>
  <r>
    <x v="6"/>
    <x v="67"/>
    <s v="8792"/>
    <s v="Aulum Sogn"/>
    <s v="Aulum Kirke"/>
    <s v="Kirke"/>
  </r>
  <r>
    <x v="6"/>
    <x v="67"/>
    <s v="8793"/>
    <s v="Hodsager Sogn"/>
    <s v="Hodsager Kirke"/>
    <s v="Kirke"/>
  </r>
  <r>
    <x v="6"/>
    <x v="67"/>
    <s v="8794"/>
    <s v="Vildbjerg Sogn"/>
    <s v="Vildbjerg Kapel"/>
    <s v="Kirke"/>
  </r>
  <r>
    <x v="6"/>
    <x v="67"/>
    <s v="8794"/>
    <s v="Vildbjerg Sogn"/>
    <s v="Vildbjerg Kirke"/>
    <s v="Kirke"/>
  </r>
  <r>
    <x v="6"/>
    <x v="67"/>
    <s v="8795"/>
    <s v="Nøvling Sogn"/>
    <s v="Nøvling Kirke"/>
    <s v="Kirke"/>
  </r>
  <r>
    <x v="6"/>
    <x v="67"/>
    <s v="8800"/>
    <s v="Sunds Sogn"/>
    <s v="Sunds Kirke"/>
    <s v="Kirke"/>
  </r>
  <r>
    <x v="6"/>
    <x v="67"/>
    <s v="8801"/>
    <s v="Ilskov Sogn"/>
    <s v="Ilskov Kirke"/>
    <s v="Kirke"/>
  </r>
  <r>
    <x v="6"/>
    <x v="67"/>
    <s v="8804"/>
    <s v="Snejbjerg Sogn"/>
    <s v="Regionshospitalets kapel, Gødstrup"/>
    <s v="Kirke"/>
  </r>
  <r>
    <x v="6"/>
    <x v="67"/>
    <s v="8804"/>
    <s v="Snejbjerg Sogn"/>
    <s v="Gødstrup Hospitalskirke"/>
    <s v="Kirke"/>
  </r>
  <r>
    <x v="6"/>
    <x v="67"/>
    <s v="8804"/>
    <s v="Snejbjerg Sogn"/>
    <s v="Snejbjerg Kirke"/>
    <s v="Kirke"/>
  </r>
  <r>
    <x v="6"/>
    <x v="67"/>
    <s v="8805"/>
    <s v="Tjørring Sogn"/>
    <s v="Tjørring Kirke"/>
    <s v="Kirke"/>
  </r>
  <r>
    <x v="6"/>
    <x v="67"/>
    <s v="8805"/>
    <s v="Tjørring Sogn"/>
    <s v="Baunekirken"/>
    <s v="Filialkirke"/>
  </r>
  <r>
    <x v="6"/>
    <x v="67"/>
    <s v="8806"/>
    <s v="Studsgård Sogn"/>
    <s v="Studsgård Kirke"/>
    <s v="Kirke"/>
  </r>
  <r>
    <x v="6"/>
    <x v="67"/>
    <s v="8807"/>
    <s v="Haunstrup Sogn"/>
    <s v="Haunstrup Kirke"/>
    <s v="Kirke"/>
  </r>
  <r>
    <x v="6"/>
    <x v="67"/>
    <s v="8837"/>
    <s v="Haderup Sogn"/>
    <s v="Haderup Kirke"/>
    <s v="Kirke"/>
  </r>
  <r>
    <x v="6"/>
    <x v="67"/>
    <s v="8838"/>
    <s v="Grove Sogn"/>
    <s v="Grove Kirke"/>
    <s v="Kirke"/>
  </r>
  <r>
    <x v="6"/>
    <x v="67"/>
    <s v="8839"/>
    <s v="Simmelkær Sogn"/>
    <s v="Simmelkær Kirke"/>
    <s v="Kirke"/>
  </r>
  <r>
    <x v="6"/>
    <x v="67"/>
    <s v="9167"/>
    <s v="Ørnhøj Sogn"/>
    <s v="Ørnhøj Kirke"/>
    <s v="Kirke"/>
  </r>
  <r>
    <x v="6"/>
    <x v="67"/>
    <s v="9170"/>
    <s v="Ørre-Sinding Sogn"/>
    <s v="Sinding Kirke"/>
    <s v="Kirke"/>
  </r>
  <r>
    <x v="6"/>
    <x v="67"/>
    <s v="9170"/>
    <s v="Ørre-Sinding Sogn"/>
    <s v="Ørre Kirke"/>
    <s v="Kirke"/>
  </r>
  <r>
    <x v="6"/>
    <x v="67"/>
    <s v="9201"/>
    <s v="Feldborg Sogn"/>
    <s v="Feldborg Kirke"/>
    <s v="Kirke"/>
  </r>
  <r>
    <x v="6"/>
    <x v="67"/>
    <s v="9333"/>
    <s v="Timring-Tiphede Sogn"/>
    <s v="Timring Kirke"/>
    <s v="Kirke"/>
  </r>
  <r>
    <x v="6"/>
    <x v="67"/>
    <s v="9333"/>
    <s v="Timring-Tiphede Sogn"/>
    <s v="Tiphede Kirke"/>
    <s v="Kirke"/>
  </r>
  <r>
    <x v="6"/>
    <x v="68"/>
    <s v="8745"/>
    <s v="Nørre Felding Sogn"/>
    <s v="Nørre Felding Kirke"/>
    <s v="Kirke"/>
  </r>
  <r>
    <x v="6"/>
    <x v="68"/>
    <s v="8746"/>
    <s v="Tvis Sogn"/>
    <s v="Tvis Kirke"/>
    <s v="Kirke"/>
  </r>
  <r>
    <x v="6"/>
    <x v="68"/>
    <s v="8813"/>
    <s v="Holstebro Sogn"/>
    <s v="Kapel, Regionshospitalet Holstebro"/>
    <s v="Kirke"/>
  </r>
  <r>
    <x v="6"/>
    <x v="68"/>
    <s v="8813"/>
    <s v="Holstebro Sogn"/>
    <s v="Viborgvejs Kapel"/>
    <s v="Kirke"/>
  </r>
  <r>
    <x v="6"/>
    <x v="68"/>
    <s v="8813"/>
    <s v="Holstebro Sogn"/>
    <s v="Holstebro Valgmenighedskirke"/>
    <s v="Kirkesal"/>
  </r>
  <r>
    <x v="6"/>
    <x v="68"/>
    <s v="8813"/>
    <s v="Holstebro Sogn"/>
    <s v="Holstebro Kirke"/>
    <s v="Kirke"/>
  </r>
  <r>
    <x v="6"/>
    <x v="68"/>
    <s v="8813"/>
    <s v="Holstebro Sogn"/>
    <s v="Egekapellet"/>
    <s v="Kirke"/>
  </r>
  <r>
    <x v="6"/>
    <x v="68"/>
    <s v="8814"/>
    <s v="Måbjerg Sogn"/>
    <s v="Måbjerg Kirke"/>
    <s v="Kirke"/>
  </r>
  <r>
    <x v="6"/>
    <x v="68"/>
    <s v="8815"/>
    <s v="Nørrelands Sogn"/>
    <s v="Nørrelandskirken"/>
    <s v="Kirke"/>
  </r>
  <r>
    <x v="6"/>
    <x v="68"/>
    <s v="8819"/>
    <s v="Mejrup Sogn"/>
    <s v="Mejrup Kirke"/>
    <s v="Kirke"/>
  </r>
  <r>
    <x v="6"/>
    <x v="68"/>
    <s v="8821"/>
    <s v="Borbjerg Sogn"/>
    <s v="Borbjerg Kirke"/>
    <s v="Kirke"/>
  </r>
  <r>
    <x v="6"/>
    <x v="68"/>
    <s v="8825"/>
    <s v="Naur Sogn"/>
    <s v="Naur Kirke"/>
    <s v="Kirke"/>
  </r>
  <r>
    <x v="6"/>
    <x v="68"/>
    <s v="8826"/>
    <s v="Sir Sogn"/>
    <s v="Sir Kirke"/>
    <s v="Kirke"/>
  </r>
  <r>
    <x v="6"/>
    <x v="68"/>
    <s v="8832"/>
    <s v="Sahl Sogn"/>
    <s v="Sahl Kirke"/>
    <s v="Kirke"/>
  </r>
  <r>
    <x v="6"/>
    <x v="68"/>
    <s v="8833"/>
    <s v="Ejsing Sogn"/>
    <s v="Ejsing Kirke"/>
    <s v="Kirke"/>
  </r>
  <r>
    <x v="6"/>
    <x v="68"/>
    <s v="8834"/>
    <s v="Ryde Sogn"/>
    <s v="Ryde Kirke"/>
    <s v="Kirke"/>
  </r>
  <r>
    <x v="6"/>
    <x v="68"/>
    <s v="8835"/>
    <s v="Handbjerg Sogn"/>
    <s v="Handbjerg Kirke"/>
    <s v="Kirke"/>
  </r>
  <r>
    <x v="6"/>
    <x v="68"/>
    <s v="8836"/>
    <s v="Sevel Sogn"/>
    <s v="Sevel Kirke"/>
    <s v="Kirke"/>
  </r>
  <r>
    <x v="6"/>
    <x v="68"/>
    <s v="9130"/>
    <s v="Mejdal-Halgård Sogn"/>
    <s v="Mejdal Kirke"/>
    <s v="Kirke"/>
  </r>
  <r>
    <x v="6"/>
    <x v="68"/>
    <s v="9202"/>
    <s v="Vinderup Sogn"/>
    <s v="Vinderup Kirke"/>
    <s v="Kirke"/>
  </r>
  <r>
    <x v="6"/>
    <x v="68"/>
    <s v="9203"/>
    <s v="Trandum Sogn"/>
    <s v="Trandum Kirke"/>
    <s v="Kirke"/>
  </r>
  <r>
    <x v="6"/>
    <x v="68"/>
    <s v="9204"/>
    <s v="Herrup Sogn"/>
    <s v="Herrup Kirke"/>
    <s v="Kirke"/>
  </r>
  <r>
    <x v="6"/>
    <x v="68"/>
    <s v="9206"/>
    <s v="Ellebæk Sogn"/>
    <s v="Ellebæk Kirke"/>
    <s v="Kirke"/>
  </r>
  <r>
    <x v="6"/>
    <x v="68"/>
    <s v="9207"/>
    <s v="Hogager Sogn"/>
    <s v="Hogager Kirke"/>
    <s v="Kirke"/>
  </r>
  <r>
    <x v="6"/>
    <x v="68"/>
    <s v="9317"/>
    <s v="Idom-Råsted Sogn"/>
    <s v="Idom Kirke"/>
    <s v="Kirke"/>
  </r>
  <r>
    <x v="6"/>
    <x v="68"/>
    <s v="9317"/>
    <s v="Idom-Råsted Sogn"/>
    <s v="Råsted Kirke"/>
    <s v="Kirke"/>
  </r>
  <r>
    <x v="6"/>
    <x v="69"/>
    <s v="8789"/>
    <s v="Herning Sogn"/>
    <s v="Herning Kirke"/>
    <s v="Kirke"/>
  </r>
  <r>
    <x v="6"/>
    <x v="69"/>
    <s v="8789"/>
    <s v="Herning Sogn"/>
    <s v="Herning Valgmenighedskirke"/>
    <s v="Kirke"/>
  </r>
  <r>
    <x v="6"/>
    <x v="69"/>
    <s v="8789"/>
    <s v="Herning Sogn"/>
    <s v="Herning Nordre Kapel"/>
    <s v="Kirke"/>
  </r>
  <r>
    <x v="6"/>
    <x v="69"/>
    <s v="8790"/>
    <s v="Sankt Johannes Sogn"/>
    <s v="Herning Vestre Kapel"/>
    <s v="Kirke"/>
  </r>
  <r>
    <x v="6"/>
    <x v="69"/>
    <s v="8790"/>
    <s v="Sankt Johannes Sogn"/>
    <s v="Sankt Johannes Kirke"/>
    <s v="Kirke"/>
  </r>
  <r>
    <x v="6"/>
    <x v="69"/>
    <s v="8791"/>
    <s v="Fredens Sogn"/>
    <s v="Fredens Kirke"/>
    <s v="Kirke"/>
  </r>
  <r>
    <x v="6"/>
    <x v="69"/>
    <s v="8799"/>
    <s v="Gjellerup Sogn"/>
    <s v="Gjellerup Kirke"/>
    <s v="Kirke"/>
  </r>
  <r>
    <x v="6"/>
    <x v="69"/>
    <s v="8799"/>
    <s v="Gjellerup Sogn"/>
    <s v="Gjellerup Valgmenighedskirke Herning"/>
    <s v="Kirke"/>
  </r>
  <r>
    <x v="6"/>
    <x v="69"/>
    <s v="8803"/>
    <s v="Rind Sogn"/>
    <s v="Lind Kirke"/>
    <s v="Kirke"/>
  </r>
  <r>
    <x v="6"/>
    <x v="69"/>
    <s v="8803"/>
    <s v="Rind Sogn"/>
    <s v="Rind Kirke"/>
    <s v="Kirke"/>
  </r>
  <r>
    <x v="6"/>
    <x v="69"/>
    <s v="8808"/>
    <s v="Sønder Felding Sogn"/>
    <s v="Sønder Felding Kirke"/>
    <s v="Kirke"/>
  </r>
  <r>
    <x v="6"/>
    <x v="69"/>
    <s v="8809"/>
    <s v="Assing Sogn"/>
    <s v="Assing Kirke"/>
    <s v="Kirke"/>
  </r>
  <r>
    <x v="6"/>
    <x v="69"/>
    <s v="8810"/>
    <s v="Skarrild Sogn"/>
    <s v="Skarrild Kirke"/>
    <s v="Kirke"/>
  </r>
  <r>
    <x v="6"/>
    <x v="69"/>
    <s v="8811"/>
    <s v="Arnborg Sogn"/>
    <s v="Arnborg Kirke"/>
    <s v="Kirke"/>
  </r>
  <r>
    <x v="6"/>
    <x v="69"/>
    <s v="9091"/>
    <s v="Hedeager Sogn"/>
    <s v="Hedeagerkirken"/>
    <s v="Kirke"/>
  </r>
  <r>
    <x v="6"/>
    <x v="69"/>
    <s v="9119"/>
    <s v="Kølkær Sogn"/>
    <s v="Kølkær Kirke"/>
    <s v="Kirke"/>
  </r>
  <r>
    <x v="6"/>
    <x v="69"/>
    <s v="9120"/>
    <s v="Kollund Sogn"/>
    <s v="Kollund Kirke"/>
    <s v="Kirke"/>
  </r>
  <r>
    <x v="6"/>
    <x v="69"/>
    <s v="9125"/>
    <s v="Ilderhede Sogn"/>
    <s v="Ilderhede Kirke"/>
    <s v="Kirke"/>
  </r>
  <r>
    <x v="6"/>
    <x v="69"/>
    <s v="9141"/>
    <s v="Gullestrup Sogn"/>
    <s v="Gullestrup Kirke"/>
    <s v="Kirke"/>
  </r>
  <r>
    <x v="6"/>
    <x v="69"/>
    <s v="9209"/>
    <s v="Fasterholt Sogn"/>
    <s v="Fasterholt Kirke"/>
    <s v="Kirke"/>
  </r>
  <r>
    <x v="6"/>
    <x v="69"/>
    <s v="9210"/>
    <s v="Karstoft Sogn"/>
    <s v="Karstoft Kirke"/>
    <s v="Kirke"/>
  </r>
  <r>
    <x v="6"/>
    <x v="70"/>
    <s v="8841"/>
    <s v="Nørlem Sogn"/>
    <s v="Nørlem Kirke"/>
    <s v="Kirke"/>
  </r>
  <r>
    <x v="6"/>
    <x v="70"/>
    <s v="8842"/>
    <s v="Nørre Nissum Sogn"/>
    <s v="Nørre Nissum Kirke"/>
    <s v="Kirke"/>
  </r>
  <r>
    <x v="6"/>
    <x v="70"/>
    <s v="8843"/>
    <s v="Tørring Sogn"/>
    <s v="Tørring Kirke"/>
    <s v="Kirke"/>
  </r>
  <r>
    <x v="6"/>
    <x v="70"/>
    <s v="8847"/>
    <s v="Bøvling Sogn"/>
    <s v="Bøvling Valgmenighedskirke"/>
    <s v="Kirkesal"/>
  </r>
  <r>
    <x v="6"/>
    <x v="70"/>
    <s v="8847"/>
    <s v="Bøvling Sogn"/>
    <s v="Mariekirken"/>
    <s v="Filialkirke"/>
  </r>
  <r>
    <x v="6"/>
    <x v="70"/>
    <s v="8847"/>
    <s v="Bøvling Sogn"/>
    <s v="Bøvling Kirke"/>
    <s v="Kirke"/>
  </r>
  <r>
    <x v="6"/>
    <x v="70"/>
    <s v="8848"/>
    <s v="Flynder Sogn"/>
    <s v="Flynder Kirke"/>
    <s v="Kirke"/>
  </r>
  <r>
    <x v="6"/>
    <x v="70"/>
    <s v="8849"/>
    <s v="Møborg Sogn"/>
    <s v="Møborg Kirke"/>
    <s v="Kirke"/>
  </r>
  <r>
    <x v="6"/>
    <x v="70"/>
    <s v="8850"/>
    <s v="Nees Sogn"/>
    <s v="Nees Kirke"/>
    <s v="Kirke"/>
  </r>
  <r>
    <x v="6"/>
    <x v="70"/>
    <s v="8851"/>
    <s v="Gudum Sogn"/>
    <s v="Gudum Kirke"/>
    <s v="Kirke"/>
  </r>
  <r>
    <x v="6"/>
    <x v="70"/>
    <s v="8852"/>
    <s v="Fabjerg Sogn"/>
    <s v="Fabjerg Kirke"/>
    <s v="Kirke"/>
  </r>
  <r>
    <x v="6"/>
    <x v="70"/>
    <s v="8856"/>
    <s v="Harboøre Sogn"/>
    <s v="Harboøre Kapel"/>
    <s v="Kirke"/>
  </r>
  <r>
    <x v="6"/>
    <x v="70"/>
    <s v="8856"/>
    <s v="Harboøre Sogn"/>
    <s v="Harboøre Kirke"/>
    <s v="Kirke"/>
  </r>
  <r>
    <x v="6"/>
    <x v="70"/>
    <s v="8856"/>
    <s v="Harboøre Sogn"/>
    <s v="Harboøre Missionshus ELIM"/>
    <s v="Kirkesal"/>
  </r>
  <r>
    <x v="6"/>
    <x v="70"/>
    <s v="8857"/>
    <s v="Engbjerg Sogn"/>
    <s v="Engbjerg Kirke"/>
    <s v="Kirke"/>
  </r>
  <r>
    <x v="6"/>
    <x v="70"/>
    <s v="8858"/>
    <s v="Thyborøn Sogn"/>
    <s v="Thyborøn Kirke"/>
    <s v="Kirke"/>
  </r>
  <r>
    <x v="6"/>
    <x v="70"/>
    <s v="8858"/>
    <s v="Thyborøn Sogn"/>
    <s v="Thyborøn Kapel"/>
    <s v="Kirke"/>
  </r>
  <r>
    <x v="6"/>
    <x v="70"/>
    <s v="8859"/>
    <s v="Hygum Sogn"/>
    <s v="Hygum Kirke"/>
    <s v="Kirke"/>
  </r>
  <r>
    <x v="6"/>
    <x v="70"/>
    <s v="8860"/>
    <s v="Hove Sogn"/>
    <s v="Hove Kirke"/>
    <s v="Kirke"/>
  </r>
  <r>
    <x v="6"/>
    <x v="70"/>
    <s v="8861"/>
    <s v="Vandborg Sogn"/>
    <s v="Vandborg Kirke"/>
    <s v="Kirke"/>
  </r>
  <r>
    <x v="6"/>
    <x v="70"/>
    <s v="8862"/>
    <s v="Ferring Sogn"/>
    <s v="Ferring Kirke"/>
    <s v="Kirke"/>
  </r>
  <r>
    <x v="6"/>
    <x v="70"/>
    <s v="8863"/>
    <s v="Dybe Sogn"/>
    <s v="Dybe Kirke"/>
    <s v="Kirke"/>
  </r>
  <r>
    <x v="6"/>
    <x v="70"/>
    <s v="8864"/>
    <s v="Ramme Sogn"/>
    <s v="Ramme Kirke"/>
    <s v="Kirke"/>
  </r>
  <r>
    <x v="6"/>
    <x v="70"/>
    <s v="8865"/>
    <s v="Fjaltring Sogn"/>
    <s v="Fjaltring Kirke"/>
    <s v="Kirke"/>
  </r>
  <r>
    <x v="6"/>
    <x v="70"/>
    <s v="8866"/>
    <s v="Trans Sogn"/>
    <s v="Trans Kirke"/>
    <s v="Kirke"/>
  </r>
  <r>
    <x v="6"/>
    <x v="70"/>
    <s v="9314"/>
    <s v="Lomborg-Rom Sogn"/>
    <s v="Lomborg Kirke"/>
    <s v="Kirke"/>
  </r>
  <r>
    <x v="6"/>
    <x v="70"/>
    <s v="9314"/>
    <s v="Lomborg-Rom Sogn"/>
    <s v="Rom Kirke"/>
    <s v="Kirke"/>
  </r>
  <r>
    <x v="6"/>
    <x v="70"/>
    <s v="9342"/>
    <s v="Lemvig Sogn"/>
    <s v="Heldum Kirke"/>
    <s v="Kirke"/>
  </r>
  <r>
    <x v="6"/>
    <x v="70"/>
    <s v="9342"/>
    <s v="Lemvig Sogn"/>
    <s v="Lemvig Kirke"/>
    <s v="Kirke"/>
  </r>
  <r>
    <x v="6"/>
    <x v="70"/>
    <s v="9342"/>
    <s v="Lemvig Sogn"/>
    <s v="Lemvig Valgmenighedskirke"/>
    <s v="Kirkesal"/>
  </r>
  <r>
    <x v="6"/>
    <x v="70"/>
    <s v="9342"/>
    <s v="Lemvig Sogn"/>
    <s v="Lemvig Kirkegårdskapel"/>
    <s v="Kirke"/>
  </r>
  <r>
    <x v="6"/>
    <x v="71"/>
    <s v="7974"/>
    <s v="Brande Sogn"/>
    <s v="Brande Kirke"/>
    <s v="Kirke"/>
  </r>
  <r>
    <x v="6"/>
    <x v="71"/>
    <s v="7980"/>
    <s v="Blåhøj Sogn"/>
    <s v="Blåhøj Kirke"/>
    <s v="Kirke"/>
  </r>
  <r>
    <x v="6"/>
    <x v="71"/>
    <s v="7999"/>
    <s v="Nørre Snede Sogn"/>
    <s v="Nørre Snede Kirke"/>
    <s v="Kirke"/>
  </r>
  <r>
    <x v="6"/>
    <x v="71"/>
    <s v="7999"/>
    <s v="Nørre Snede Sogn"/>
    <s v="Bakkebo Kirke"/>
    <s v="Filialkirke"/>
  </r>
  <r>
    <x v="6"/>
    <x v="71"/>
    <s v="7999"/>
    <s v="Nørre Snede Sogn"/>
    <s v="Nørre Snede Kirkes kapel"/>
    <s v="Kirke"/>
  </r>
  <r>
    <x v="6"/>
    <x v="71"/>
    <s v="8000"/>
    <s v="Ejstrup Sogn"/>
    <s v="Ejstrup Kirke"/>
    <s v="Kirke"/>
  </r>
  <r>
    <x v="6"/>
    <x v="71"/>
    <s v="8005"/>
    <s v="Klovborg Sogn"/>
    <s v="Klovborg Kirke"/>
    <s v="Kirke"/>
  </r>
  <r>
    <x v="6"/>
    <x v="71"/>
    <s v="8590"/>
    <s v="Vium Sogn"/>
    <s v="Vium Kirke"/>
    <s v="Kirke"/>
  </r>
  <r>
    <x v="6"/>
    <x v="71"/>
    <s v="8596"/>
    <s v="Ans-Grønbæk Sogn"/>
    <s v="Ans Kirke"/>
    <s v="Filialkirke"/>
  </r>
  <r>
    <x v="6"/>
    <x v="71"/>
    <s v="8596"/>
    <s v="Ans-Grønbæk Sogn"/>
    <s v="Grønbæk Kirke"/>
    <s v="Kirke"/>
  </r>
  <r>
    <x v="6"/>
    <x v="71"/>
    <s v="8597"/>
    <s v="Levring Sogn"/>
    <s v="Levring Kirke"/>
    <s v="Kirke"/>
  </r>
  <r>
    <x v="6"/>
    <x v="71"/>
    <s v="8598"/>
    <s v="Hørup Sogn"/>
    <s v="Hørup Kirke"/>
    <s v="Kirke"/>
  </r>
  <r>
    <x v="6"/>
    <x v="71"/>
    <s v="8599"/>
    <s v="Hinge Sogn"/>
    <s v="Hinge Kirke"/>
    <s v="Kirke"/>
  </r>
  <r>
    <x v="6"/>
    <x v="71"/>
    <s v="8600"/>
    <s v="Vinderslev Sogn"/>
    <s v="Vinderslev Kirke"/>
    <s v="Kirke"/>
  </r>
  <r>
    <x v="6"/>
    <x v="71"/>
    <s v="8601"/>
    <s v="Thorning Sogn"/>
    <s v="Thorning Kirke"/>
    <s v="Kirke"/>
  </r>
  <r>
    <x v="6"/>
    <x v="71"/>
    <s v="8612"/>
    <s v="Engesvang Sogn"/>
    <s v="Engesvang Kirke"/>
    <s v="Kirke"/>
  </r>
  <r>
    <x v="6"/>
    <x v="71"/>
    <s v="8802"/>
    <s v="Ikast Sogn"/>
    <s v="Ikast Østre Kirke"/>
    <s v="Kirke"/>
  </r>
  <r>
    <x v="6"/>
    <x v="71"/>
    <s v="8802"/>
    <s v="Ikast Sogn"/>
    <s v="Ikast Kirke"/>
    <s v="Kirke"/>
  </r>
  <r>
    <x v="6"/>
    <x v="71"/>
    <s v="8812"/>
    <s v="Bording Sogn"/>
    <s v="Bording Kirke"/>
    <s v="Kirke"/>
  </r>
  <r>
    <x v="6"/>
    <x v="71"/>
    <s v="9123"/>
    <s v="Isenvad Sogn"/>
    <s v="Isenvad Kirke"/>
    <s v="Kirke"/>
  </r>
  <r>
    <x v="6"/>
    <x v="71"/>
    <s v="9152"/>
    <s v="Fonnesbæk Sogn"/>
    <s v="Fonnesbæk Kirke"/>
    <s v="Kirke"/>
  </r>
  <r>
    <x v="6"/>
    <x v="71"/>
    <s v="9211"/>
    <s v="Faurholt Sogn"/>
    <s v="Faurholt Kirke"/>
    <s v="Kirke"/>
  </r>
  <r>
    <x v="6"/>
    <x v="71"/>
    <s v="9212"/>
    <s v="Christianshede Sogn"/>
    <s v="Christianshede Kirke"/>
    <s v="Kirke"/>
  </r>
  <r>
    <x v="6"/>
    <x v="71"/>
    <s v="9213"/>
    <s v="Grathe Sogn"/>
    <s v="Grathe Kirke"/>
    <s v="Kirke"/>
  </r>
  <r>
    <x v="6"/>
    <x v="71"/>
    <s v="9281"/>
    <s v="Skærlund Sogn"/>
    <s v="Skærlund Kirke"/>
    <s v="Kirke"/>
  </r>
  <r>
    <x v="6"/>
    <x v="71"/>
    <s v="9282"/>
    <s v="Uhre Sogn"/>
    <s v="Uhre Kirke"/>
    <s v="Kirke"/>
  </r>
  <r>
    <x v="6"/>
    <x v="71"/>
    <s v="9288"/>
    <s v="Gludsted Sogn"/>
    <s v="Gludsted Kirke"/>
    <s v="Kirke"/>
  </r>
  <r>
    <x v="6"/>
    <x v="71"/>
    <s v="9289"/>
    <s v="Hampen Sogn"/>
    <s v="Hampen Kirke"/>
    <s v="Kirke"/>
  </r>
  <r>
    <x v="6"/>
    <x v="72"/>
    <s v="8659"/>
    <s v="Jegindø Sogn"/>
    <s v="Jegindø Kirke"/>
    <s v="Kirke"/>
  </r>
  <r>
    <x v="6"/>
    <x v="72"/>
    <s v="8816"/>
    <s v="Struer Sogn"/>
    <s v="Struer Kirke"/>
    <s v="Kirke"/>
  </r>
  <r>
    <x v="6"/>
    <x v="72"/>
    <s v="8816"/>
    <s v="Struer Sogn"/>
    <s v="Struer Kirkes Kapel"/>
    <s v="Kirke"/>
  </r>
  <r>
    <x v="6"/>
    <x v="72"/>
    <s v="8816"/>
    <s v="Struer Sogn"/>
    <s v="Voldhøj Valgmenighedskirke"/>
    <s v="Kirkesal"/>
  </r>
  <r>
    <x v="6"/>
    <x v="72"/>
    <s v="8817"/>
    <s v="Gimsing Sogn"/>
    <s v="Gimsing Kirke"/>
    <s v="Kirke"/>
  </r>
  <r>
    <x v="6"/>
    <x v="72"/>
    <s v="8818"/>
    <s v="Vejrum Sogn"/>
    <s v="Vejrum Kirke"/>
    <s v="Kirke"/>
  </r>
  <r>
    <x v="6"/>
    <x v="72"/>
    <s v="8822"/>
    <s v="Ølby Sogn"/>
    <s v="Ølby Kirke"/>
    <s v="Kirke"/>
  </r>
  <r>
    <x v="6"/>
    <x v="72"/>
    <s v="8823"/>
    <s v="Asp Sogn"/>
    <s v="Asp Kirke"/>
    <s v="Kirke"/>
  </r>
  <r>
    <x v="6"/>
    <x v="72"/>
    <s v="8824"/>
    <s v="Fousing Sogn"/>
    <s v="Fousing Kirke"/>
    <s v="Kirke"/>
  </r>
  <r>
    <x v="6"/>
    <x v="72"/>
    <s v="8853"/>
    <s v="Resen Sogn"/>
    <s v="Resen Kirke"/>
    <s v="Kirke"/>
  </r>
  <r>
    <x v="6"/>
    <x v="72"/>
    <s v="8854"/>
    <s v="Humlum Sogn"/>
    <s v="Humlum Kirke"/>
    <s v="Kirke"/>
  </r>
  <r>
    <x v="6"/>
    <x v="72"/>
    <s v="8855"/>
    <s v="Venø Sogn"/>
    <s v="Venø Kirke"/>
    <s v="Kirke"/>
  </r>
  <r>
    <x v="6"/>
    <x v="72"/>
    <s v="9335"/>
    <s v="Hjerm Sogn"/>
    <s v="Hjerm Østre Kirke"/>
    <s v="Kirke"/>
  </r>
  <r>
    <x v="6"/>
    <x v="72"/>
    <s v="9335"/>
    <s v="Hjerm Sogn"/>
    <s v="Hjerm Vestre Kirke"/>
    <s v="Kirke"/>
  </r>
  <r>
    <x v="6"/>
    <x v="72"/>
    <s v="9347"/>
    <s v="Hvidbjerg-Lyngs Sogn"/>
    <s v="Lyngs Kirke"/>
    <s v="Kirke"/>
  </r>
  <r>
    <x v="6"/>
    <x v="72"/>
    <s v="9347"/>
    <s v="Hvidbjerg-Lyngs Sogn"/>
    <s v="Hvidbjerg Kirke"/>
    <s v="Kirke"/>
  </r>
  <r>
    <x v="6"/>
    <x v="72"/>
    <s v="9359"/>
    <s v="Søndbjerg-Odby Sogn"/>
    <s v="Odby Kirke"/>
    <s v="Kirke"/>
  </r>
  <r>
    <x v="6"/>
    <x v="72"/>
    <s v="9359"/>
    <s v="Søndbjerg-Odby Sogn"/>
    <s v="Søndbjerg Kirke"/>
    <s v="Kirke"/>
  </r>
  <r>
    <x v="7"/>
    <x v="73"/>
    <s v="8114"/>
    <s v="Aarhus Domsogn"/>
    <s v="Aarhus Domkirke"/>
    <s v="Kirke"/>
  </r>
  <r>
    <x v="7"/>
    <x v="73"/>
    <s v="8115"/>
    <s v="Vor Frue Sogn"/>
    <s v="Sankt Nikolai Kryptkirke"/>
    <s v="Filialkirke"/>
  </r>
  <r>
    <x v="7"/>
    <x v="73"/>
    <s v="8115"/>
    <s v="Vor Frue Sogn"/>
    <s v="Vor Frue Kirke"/>
    <s v="Kirke"/>
  </r>
  <r>
    <x v="7"/>
    <x v="73"/>
    <s v="8115"/>
    <s v="Vor Frue Sogn"/>
    <s v="Klosterkirken"/>
    <s v="Filialkirke"/>
  </r>
  <r>
    <x v="7"/>
    <x v="73"/>
    <s v="8116"/>
    <s v="Sankt Markus Sogn"/>
    <s v="Sankt Markus Kirke"/>
    <s v="Kirke"/>
  </r>
  <r>
    <x v="7"/>
    <x v="73"/>
    <s v="8118"/>
    <s v="Sankt Pauls Sogn"/>
    <s v="Aarhus Bykirke"/>
    <s v="Kirke"/>
  </r>
  <r>
    <x v="7"/>
    <x v="73"/>
    <s v="8118"/>
    <s v="Sankt Pauls Sogn"/>
    <s v="Sankt Pauls Kirke"/>
    <s v="Kirke"/>
  </r>
  <r>
    <x v="7"/>
    <x v="73"/>
    <s v="8119"/>
    <s v="Langenæs Sogn"/>
    <s v="Langenæs Kirke"/>
    <s v="Kirke"/>
  </r>
  <r>
    <x v="7"/>
    <x v="73"/>
    <s v="8120"/>
    <s v="Sankt Johannes Sogn"/>
    <s v="Nordre Kapel, Aarhus"/>
    <s v="Kirke"/>
  </r>
  <r>
    <x v="7"/>
    <x v="73"/>
    <s v="8120"/>
    <s v="Sankt Johannes Sogn"/>
    <s v="Sankt Johannes Kirke"/>
    <s v="Kirke"/>
  </r>
  <r>
    <x v="7"/>
    <x v="73"/>
    <s v="8120"/>
    <s v="Sankt Johannes Sogn"/>
    <s v="Sygehuskapellet, Aarhus Universitetshospital"/>
    <s v="Kirke"/>
  </r>
  <r>
    <x v="7"/>
    <x v="73"/>
    <s v="8121"/>
    <s v="Christians Sogn"/>
    <s v="Christians Kirke"/>
    <s v="Kirke"/>
  </r>
  <r>
    <x v="7"/>
    <x v="73"/>
    <s v="8132"/>
    <s v="Sankt Lukas Sogn"/>
    <s v="Sankt Lukas Kirke"/>
    <s v="Kirke"/>
  </r>
  <r>
    <x v="7"/>
    <x v="73"/>
    <s v="9183"/>
    <s v="Samsø Sogn"/>
    <s v="Besser Kirke"/>
    <s v="Kirke"/>
  </r>
  <r>
    <x v="7"/>
    <x v="73"/>
    <s v="9183"/>
    <s v="Samsø Sogn"/>
    <s v="Kapellet, Samsø Sundheds- og Akuthus"/>
    <s v="Kirke"/>
  </r>
  <r>
    <x v="7"/>
    <x v="73"/>
    <s v="9183"/>
    <s v="Samsø Sogn"/>
    <s v="Ørby Kirke"/>
    <s v="Filialkirke"/>
  </r>
  <r>
    <x v="7"/>
    <x v="73"/>
    <s v="9183"/>
    <s v="Samsø Sogn"/>
    <s v="Tranebjerg Kirke"/>
    <s v="Kirke"/>
  </r>
  <r>
    <x v="7"/>
    <x v="73"/>
    <s v="9183"/>
    <s v="Samsø Sogn"/>
    <s v="Onsbjerg Kirke"/>
    <s v="Kirke"/>
  </r>
  <r>
    <x v="7"/>
    <x v="73"/>
    <s v="9183"/>
    <s v="Samsø Sogn"/>
    <s v="Langør Kirke"/>
    <s v="Filialkirke"/>
  </r>
  <r>
    <x v="7"/>
    <x v="73"/>
    <s v="9183"/>
    <s v="Samsø Sogn"/>
    <s v="Nordby Kirke"/>
    <s v="Kirke"/>
  </r>
  <r>
    <x v="7"/>
    <x v="73"/>
    <s v="9183"/>
    <s v="Samsø Sogn"/>
    <s v="Kolby Kirke"/>
    <s v="Kirke"/>
  </r>
  <r>
    <x v="7"/>
    <x v="74"/>
    <s v="8086"/>
    <s v="Tunø Sogn"/>
    <s v="Tunø Kirke"/>
    <s v="Kirke"/>
  </r>
  <r>
    <x v="7"/>
    <x v="74"/>
    <s v="8087"/>
    <s v="Odder Sogn"/>
    <s v="Odder Kapel"/>
    <s v="Kirkesal"/>
  </r>
  <r>
    <x v="7"/>
    <x v="74"/>
    <s v="8087"/>
    <s v="Odder Sogn"/>
    <s v="Odder Sygehuskapel"/>
    <s v="Kirke"/>
  </r>
  <r>
    <x v="7"/>
    <x v="74"/>
    <s v="8087"/>
    <s v="Odder Sogn"/>
    <s v="Odder Valgmenighedskirke"/>
    <s v="Kirkesal"/>
  </r>
  <r>
    <x v="7"/>
    <x v="74"/>
    <s v="8087"/>
    <s v="Odder Sogn"/>
    <s v="Odder Kirke"/>
    <s v="Kirke"/>
  </r>
  <r>
    <x v="7"/>
    <x v="74"/>
    <s v="8088"/>
    <s v="Torrild Sogn"/>
    <s v="Torrild Kirke"/>
    <s v="Kirke"/>
  </r>
  <r>
    <x v="7"/>
    <x v="74"/>
    <s v="8089"/>
    <s v="Saksild Sogn"/>
    <s v="Saksild Kirke"/>
    <s v="Kirke"/>
  </r>
  <r>
    <x v="7"/>
    <x v="74"/>
    <s v="8090"/>
    <s v="Nølev Sogn"/>
    <s v="Nølev Kirke"/>
    <s v="Kirke"/>
  </r>
  <r>
    <x v="7"/>
    <x v="74"/>
    <s v="8091"/>
    <s v="Randlev Sogn"/>
    <s v="Randlev Kirke"/>
    <s v="Kirke"/>
  </r>
  <r>
    <x v="7"/>
    <x v="74"/>
    <s v="8092"/>
    <s v="Bjerager Sogn"/>
    <s v="Bjerager Kirke"/>
    <s v="Kirke"/>
  </r>
  <r>
    <x v="7"/>
    <x v="74"/>
    <s v="8093"/>
    <s v="Hundslund Sogn"/>
    <s v="Hundslund Kirke"/>
    <s v="Kirke"/>
  </r>
  <r>
    <x v="7"/>
    <x v="74"/>
    <s v="8094"/>
    <s v="Ørting Sogn"/>
    <s v="Ørting Kirke"/>
    <s v="Kirke"/>
  </r>
  <r>
    <x v="7"/>
    <x v="74"/>
    <s v="8095"/>
    <s v="Falling Sogn"/>
    <s v="Falling Kirke"/>
    <s v="Kirke"/>
  </r>
  <r>
    <x v="7"/>
    <x v="74"/>
    <s v="8096"/>
    <s v="Gosmer Sogn"/>
    <s v="Gosmer Kirke"/>
    <s v="Kirke"/>
  </r>
  <r>
    <x v="7"/>
    <x v="74"/>
    <s v="8097"/>
    <s v="Halling Sogn"/>
    <s v="Halling Kirke"/>
    <s v="Kirke"/>
  </r>
  <r>
    <x v="7"/>
    <x v="74"/>
    <s v="8098"/>
    <s v="Gylling Sogn"/>
    <s v="Gylling Kirke"/>
    <s v="Kirke"/>
  </r>
  <r>
    <x v="7"/>
    <x v="74"/>
    <s v="8099"/>
    <s v="Alrø Sogn"/>
    <s v="Alrø Kirke"/>
    <s v="Kirke"/>
  </r>
  <r>
    <x v="7"/>
    <x v="75"/>
    <s v="7988"/>
    <s v="Gammel Rye Sogn"/>
    <s v="Sankt Sørens Kirke"/>
    <s v="Kirke"/>
  </r>
  <r>
    <x v="7"/>
    <x v="75"/>
    <s v="7990"/>
    <s v="Voerladegård Sogn"/>
    <s v="Voerladegård Kirke"/>
    <s v="Kirke"/>
  </r>
  <r>
    <x v="7"/>
    <x v="75"/>
    <s v="8010"/>
    <s v="Stilling Sogn"/>
    <s v="Stilling Kirke"/>
    <s v="Kirke"/>
  </r>
  <r>
    <x v="7"/>
    <x v="75"/>
    <s v="8011"/>
    <s v="Blegind Sogn"/>
    <s v="Blegind Kirke"/>
    <s v="Kirke"/>
  </r>
  <r>
    <x v="7"/>
    <x v="75"/>
    <s v="8012"/>
    <s v="Hørning Sogn"/>
    <s v="Hørning Kirke"/>
    <s v="Kirke"/>
  </r>
  <r>
    <x v="7"/>
    <x v="75"/>
    <s v="8013"/>
    <s v="Adslev Sogn"/>
    <s v="Adslev Kirke"/>
    <s v="Kirke"/>
  </r>
  <r>
    <x v="7"/>
    <x v="75"/>
    <s v="8014"/>
    <s v="Dover Sogn"/>
    <s v="Dover Kirke"/>
    <s v="Kirke"/>
  </r>
  <r>
    <x v="7"/>
    <x v="75"/>
    <s v="8015"/>
    <s v="Veng Sogn"/>
    <s v="Veng Kirke"/>
    <s v="Kirke"/>
  </r>
  <r>
    <x v="7"/>
    <x v="75"/>
    <s v="8016"/>
    <s v="Mesing Sogn"/>
    <s v="Mesing Kirke"/>
    <s v="Kirke"/>
  </r>
  <r>
    <x v="7"/>
    <x v="75"/>
    <s v="8032"/>
    <s v="Låsby Sogn"/>
    <s v="Låsby Kirke"/>
    <s v="Kirke"/>
  </r>
  <r>
    <x v="7"/>
    <x v="75"/>
    <s v="8033"/>
    <s v="Alling Sogn"/>
    <s v="Alling Kirke"/>
    <s v="Kirke"/>
  </r>
  <r>
    <x v="7"/>
    <x v="75"/>
    <s v="8034"/>
    <s v="Tulstrup Sogn"/>
    <s v="Tulstrup Kirke"/>
    <s v="Kirke"/>
  </r>
  <r>
    <x v="7"/>
    <x v="75"/>
    <s v="8035"/>
    <s v="Fruering Sogn"/>
    <s v="Fruering Kirke"/>
    <s v="Kirke"/>
  </r>
  <r>
    <x v="7"/>
    <x v="75"/>
    <s v="8039"/>
    <s v="Ovsted Sogn"/>
    <s v="Ovsted Kirke"/>
    <s v="Kirke"/>
  </r>
  <r>
    <x v="7"/>
    <x v="75"/>
    <s v="8040"/>
    <s v="Tåning Sogn"/>
    <s v="Tåning Kirke"/>
    <s v="Kirke"/>
  </r>
  <r>
    <x v="7"/>
    <x v="75"/>
    <s v="8041"/>
    <s v="Hylke Sogn"/>
    <s v="Hylke Kirke"/>
    <s v="Kirke"/>
  </r>
  <r>
    <x v="7"/>
    <x v="75"/>
    <s v="8075"/>
    <s v="Sjelle Sogn"/>
    <s v="Sjelle Kirke"/>
    <s v="Kirke"/>
  </r>
  <r>
    <x v="7"/>
    <x v="75"/>
    <s v="8076"/>
    <s v="Skjørring Sogn"/>
    <s v="Skjørring Kirke"/>
    <s v="Kirke"/>
  </r>
  <r>
    <x v="7"/>
    <x v="75"/>
    <s v="8077"/>
    <s v="Skivholme Sogn"/>
    <s v="Skivholme Kirke"/>
    <s v="Kirke"/>
  </r>
  <r>
    <x v="7"/>
    <x v="75"/>
    <s v="8078"/>
    <s v="Skovby Sogn"/>
    <s v="Skovby Kirke"/>
    <s v="Kirke"/>
  </r>
  <r>
    <x v="7"/>
    <x v="75"/>
    <s v="8078"/>
    <s v="Skovby Sogn"/>
    <s v="Skovby Kirkes Kapel"/>
    <s v="Kirke"/>
  </r>
  <r>
    <x v="7"/>
    <x v="75"/>
    <s v="8083"/>
    <s v="Storring Sogn"/>
    <s v="Storring Kirke"/>
    <s v="Kirke"/>
  </r>
  <r>
    <x v="7"/>
    <x v="75"/>
    <s v="8084"/>
    <s v="Stjær Sogn"/>
    <s v="Stjær Kirke"/>
    <s v="Kirke"/>
  </r>
  <r>
    <x v="7"/>
    <x v="75"/>
    <s v="8085"/>
    <s v="Galten Sogn"/>
    <s v="Galten Kirke"/>
    <s v="Kirke"/>
  </r>
  <r>
    <x v="7"/>
    <x v="75"/>
    <s v="9104"/>
    <s v="Ry Sogn"/>
    <s v="Ry Kirke"/>
    <s v="Kirke"/>
  </r>
  <r>
    <x v="7"/>
    <x v="75"/>
    <s v="9166"/>
    <s v="Skanderborg Sogn"/>
    <s v="Højvangen Kirke"/>
    <s v="Kirke"/>
  </r>
  <r>
    <x v="7"/>
    <x v="75"/>
    <s v="9166"/>
    <s v="Skanderborg Sogn"/>
    <s v="Kirkecenter Højvangen"/>
    <s v="Kirke"/>
  </r>
  <r>
    <x v="7"/>
    <x v="75"/>
    <s v="9166"/>
    <s v="Skanderborg Sogn"/>
    <s v="Slotskirkens Krypt"/>
    <s v="Kirke"/>
  </r>
  <r>
    <x v="7"/>
    <x v="75"/>
    <s v="9166"/>
    <s v="Skanderborg Sogn"/>
    <s v="Skanderup Kirke"/>
    <s v="Kirke"/>
  </r>
  <r>
    <x v="7"/>
    <x v="75"/>
    <s v="9166"/>
    <s v="Skanderborg Sogn"/>
    <s v="Skanderup Kirkes Kapel"/>
    <s v="Kirke"/>
  </r>
  <r>
    <x v="7"/>
    <x v="75"/>
    <s v="9166"/>
    <s v="Skanderborg Sogn"/>
    <s v="Slotskirken"/>
    <s v="Kirke"/>
  </r>
  <r>
    <x v="7"/>
    <x v="76"/>
    <s v="7964"/>
    <s v="Hatting Sogn"/>
    <s v="Hatting Kirke"/>
    <s v="Kirke"/>
  </r>
  <r>
    <x v="7"/>
    <x v="76"/>
    <s v="7966"/>
    <s v="Torsted Sogn"/>
    <s v="Østerhåb Kirke"/>
    <s v="Kirke"/>
  </r>
  <r>
    <x v="7"/>
    <x v="76"/>
    <s v="7966"/>
    <s v="Torsted Sogn"/>
    <s v="Torsted Kirke"/>
    <s v="Kirke"/>
  </r>
  <r>
    <x v="7"/>
    <x v="76"/>
    <s v="7967"/>
    <s v="Tyrsted Sogn"/>
    <s v="Tyrsted Kirke"/>
    <s v="Kirke"/>
  </r>
  <r>
    <x v="7"/>
    <x v="76"/>
    <s v="7968"/>
    <s v="Uth Sogn"/>
    <s v="Uth Kirke"/>
    <s v="Kirke"/>
  </r>
  <r>
    <x v="7"/>
    <x v="76"/>
    <s v="7989"/>
    <s v="Sønder Vissing Sogn"/>
    <s v="Sønder Vissing Kirke"/>
    <s v="Kirke"/>
  </r>
  <r>
    <x v="7"/>
    <x v="76"/>
    <s v="7991"/>
    <s v="Grædstrup Sogn"/>
    <s v="Grædstrup Kirke"/>
    <s v="Kirke"/>
  </r>
  <r>
    <x v="7"/>
    <x v="76"/>
    <s v="7994"/>
    <s v="Brædstrup Sogn"/>
    <s v="Brædstrup Kirke"/>
    <s v="Kirke"/>
  </r>
  <r>
    <x v="7"/>
    <x v="76"/>
    <s v="7995"/>
    <s v="Føvling Sogn"/>
    <s v="Føvling Kirke"/>
    <s v="Kirke"/>
  </r>
  <r>
    <x v="7"/>
    <x v="76"/>
    <s v="7996"/>
    <s v="Tønning Sogn"/>
    <s v="Tønning Kirke"/>
    <s v="Kirke"/>
  </r>
  <r>
    <x v="7"/>
    <x v="76"/>
    <s v="7997"/>
    <s v="Træden Sogn"/>
    <s v="Træden Kirke"/>
    <s v="Kirke"/>
  </r>
  <r>
    <x v="7"/>
    <x v="76"/>
    <s v="8006"/>
    <s v="Tyrsting Sogn"/>
    <s v="Tyrsting Kirke"/>
    <s v="Kirke"/>
  </r>
  <r>
    <x v="7"/>
    <x v="76"/>
    <s v="8037"/>
    <s v="Østbirk Sogn"/>
    <s v="Østbirk Kirke"/>
    <s v="Kirke"/>
  </r>
  <r>
    <x v="7"/>
    <x v="76"/>
    <s v="8038"/>
    <s v="Yding Sogn"/>
    <s v="Yding Kirke"/>
    <s v="Kirke"/>
  </r>
  <r>
    <x v="7"/>
    <x v="76"/>
    <s v="8042"/>
    <s v="Kattrup Sogn"/>
    <s v="Kattrup Kirke"/>
    <s v="Kirke"/>
  </r>
  <r>
    <x v="7"/>
    <x v="76"/>
    <s v="8043"/>
    <s v="Tolstrup Sogn"/>
    <s v="Tolstrup Kirke"/>
    <s v="Kirke"/>
  </r>
  <r>
    <x v="7"/>
    <x v="76"/>
    <s v="8044"/>
    <s v="Ørridslev Sogn"/>
    <s v="Ørridslev Kirke"/>
    <s v="Kirke"/>
  </r>
  <r>
    <x v="7"/>
    <x v="76"/>
    <s v="8045"/>
    <s v="Vedslet Sogn"/>
    <s v="Vedslet Kirke"/>
    <s v="Kirke"/>
  </r>
  <r>
    <x v="7"/>
    <x v="76"/>
    <s v="8046"/>
    <s v="Lundum Sogn"/>
    <s v="Lundum Kirke"/>
    <s v="Kirke"/>
  </r>
  <r>
    <x v="7"/>
    <x v="76"/>
    <s v="8047"/>
    <s v="Hansted Sogn"/>
    <s v="Hansted Kirke"/>
    <s v="Kirke"/>
  </r>
  <r>
    <x v="7"/>
    <x v="76"/>
    <s v="8048"/>
    <s v="Vær Sogn"/>
    <s v="Vær Kirke"/>
    <s v="Kirke"/>
  </r>
  <r>
    <x v="7"/>
    <x v="76"/>
    <s v="8049"/>
    <s v="Nebel Sogn"/>
    <s v="Serridslev Kirke"/>
    <s v="Kirke"/>
  </r>
  <r>
    <x v="7"/>
    <x v="76"/>
    <s v="8050"/>
    <s v="Gangsted Sogn"/>
    <s v="Gangsted Kirke"/>
    <s v="Kirke"/>
  </r>
  <r>
    <x v="7"/>
    <x v="76"/>
    <s v="8051"/>
    <s v="Søvind Sogn"/>
    <s v="Søvind Kirke"/>
    <s v="Kirke"/>
  </r>
  <r>
    <x v="7"/>
    <x v="76"/>
    <s v="8052"/>
    <s v="Klostersogn"/>
    <s v="Klosterkirken"/>
    <s v="Kirke"/>
  </r>
  <r>
    <x v="7"/>
    <x v="76"/>
    <s v="8052"/>
    <s v="Klostersogn"/>
    <s v="Sygehuskapel"/>
    <s v="Kirke"/>
  </r>
  <r>
    <x v="7"/>
    <x v="76"/>
    <s v="8053"/>
    <s v="Vor Frelsers Sogn"/>
    <s v="Vestermark Kirke"/>
    <s v="Fængselskirke"/>
  </r>
  <r>
    <x v="7"/>
    <x v="76"/>
    <s v="8053"/>
    <s v="Vor Frelsers Sogn"/>
    <s v="Horsens Valgmenighed"/>
    <s v="Kirke"/>
  </r>
  <r>
    <x v="7"/>
    <x v="76"/>
    <s v="8053"/>
    <s v="Vor Frelsers Sogn"/>
    <s v="Vestre Kapel"/>
    <s v="Kirke"/>
  </r>
  <r>
    <x v="7"/>
    <x v="76"/>
    <s v="8053"/>
    <s v="Vor Frelsers Sogn"/>
    <s v="Getsemane Kirke"/>
    <s v="Kirke"/>
  </r>
  <r>
    <x v="7"/>
    <x v="76"/>
    <s v="8053"/>
    <s v="Vor Frelsers Sogn"/>
    <s v="Vor Frelsers Kirke"/>
    <s v="Kirke"/>
  </r>
  <r>
    <x v="7"/>
    <x v="76"/>
    <s v="8054"/>
    <s v="Tamdrup Sogn"/>
    <s v="Johanneskirken"/>
    <s v="Kirke"/>
  </r>
  <r>
    <x v="7"/>
    <x v="76"/>
    <s v="8054"/>
    <s v="Tamdrup Sogn"/>
    <s v="Tamdrup Kirke"/>
    <s v="Kirke"/>
  </r>
  <r>
    <x v="7"/>
    <x v="76"/>
    <s v="8055"/>
    <s v="Nim Sogn"/>
    <s v="Nim Kirke"/>
    <s v="Kirke"/>
  </r>
  <r>
    <x v="7"/>
    <x v="76"/>
    <s v="8056"/>
    <s v="Underup Sogn"/>
    <s v="Underup Kirke"/>
    <s v="Kirke"/>
  </r>
  <r>
    <x v="7"/>
    <x v="76"/>
    <s v="8059"/>
    <s v="Endelave Sogn"/>
    <s v="Endelave Kirke"/>
    <s v="Kirke"/>
  </r>
  <r>
    <x v="7"/>
    <x v="76"/>
    <s v="9077"/>
    <s v="Sønderbro Sogn"/>
    <s v="Sønderbro Kirke"/>
    <s v="Kirke"/>
  </r>
  <r>
    <x v="7"/>
    <x v="77"/>
    <s v="7992"/>
    <s v="Vinding Sogn"/>
    <s v="Vinding Kirke"/>
    <s v="Kirke"/>
  </r>
  <r>
    <x v="7"/>
    <x v="77"/>
    <s v="7993"/>
    <s v="Bryrup Sogn"/>
    <s v="Bryrup Kirke"/>
    <s v="Kirke"/>
  </r>
  <r>
    <x v="7"/>
    <x v="77"/>
    <s v="7998"/>
    <s v="Them Sogn"/>
    <s v="Them Kirke"/>
    <s v="Kirke"/>
  </r>
  <r>
    <x v="7"/>
    <x v="77"/>
    <s v="7998"/>
    <s v="Them Sogn"/>
    <s v="Brande Kirke"/>
    <s v="Filialkirke"/>
  </r>
  <r>
    <x v="7"/>
    <x v="77"/>
    <s v="8007"/>
    <s v="Vrads Sogn"/>
    <s v="Vrads Kirke"/>
    <s v="Kirke"/>
  </r>
  <r>
    <x v="7"/>
    <x v="77"/>
    <s v="8017"/>
    <s v="Silkeborg Sogn"/>
    <s v="Silkeborg Sygehuskapel"/>
    <s v="Kirke"/>
  </r>
  <r>
    <x v="7"/>
    <x v="77"/>
    <s v="8017"/>
    <s v="Silkeborg Sogn"/>
    <s v="Silkeborg Kirke"/>
    <s v="Kirke"/>
  </r>
  <r>
    <x v="7"/>
    <x v="77"/>
    <s v="8018"/>
    <s v="Mariehøj Sogn"/>
    <s v="Silkeborg Vestre Kapel"/>
    <s v="Kirke"/>
  </r>
  <r>
    <x v="7"/>
    <x v="77"/>
    <s v="8018"/>
    <s v="Mariehøj Sogn"/>
    <s v="Mariehøj Kirke"/>
    <s v="Kirke"/>
  </r>
  <r>
    <x v="7"/>
    <x v="77"/>
    <s v="8019"/>
    <s v="Alderslyst Sogn"/>
    <s v="Alderslyst Kirke"/>
    <s v="Kirke"/>
  </r>
  <r>
    <x v="7"/>
    <x v="77"/>
    <s v="8020"/>
    <s v="Linå Sogn"/>
    <s v="Linå Kirke"/>
    <s v="Kirke"/>
  </r>
  <r>
    <x v="7"/>
    <x v="77"/>
    <s v="8021"/>
    <s v="Voel Sogn"/>
    <s v="Voel Kirke"/>
    <s v="Kirke"/>
  </r>
  <r>
    <x v="7"/>
    <x v="77"/>
    <s v="8025"/>
    <s v="Skorup Sogn"/>
    <s v="Skorup Kirke"/>
    <s v="Kirke"/>
  </r>
  <r>
    <x v="7"/>
    <x v="77"/>
    <s v="8026"/>
    <s v="Tvilum Sogn"/>
    <s v="Tvilum Kirke"/>
    <s v="Kirke"/>
  </r>
  <r>
    <x v="7"/>
    <x v="77"/>
    <s v="8031"/>
    <s v="Dallerup Sogn"/>
    <s v="Dallerup Kirke"/>
    <s v="Kirke"/>
  </r>
  <r>
    <x v="7"/>
    <x v="77"/>
    <s v="8496"/>
    <s v="Balle Sogn"/>
    <s v="Balle Kirke"/>
    <s v="Kirke"/>
  </r>
  <r>
    <x v="7"/>
    <x v="77"/>
    <s v="8496"/>
    <s v="Balle Sogn"/>
    <s v="Hvinningdal Kirke"/>
    <s v="Kirke"/>
  </r>
  <r>
    <x v="7"/>
    <x v="77"/>
    <s v="8604"/>
    <s v="Serup Sogn"/>
    <s v="Serup Kirke"/>
    <s v="Kirke"/>
  </r>
  <r>
    <x v="7"/>
    <x v="77"/>
    <s v="8605"/>
    <s v="Lemming Sogn"/>
    <s v="Lemming Kirke"/>
    <s v="Kirke"/>
  </r>
  <r>
    <x v="7"/>
    <x v="77"/>
    <s v="8606"/>
    <s v="Gødvad Sogn"/>
    <s v="Dybkær Kirke"/>
    <s v="Kirke"/>
  </r>
  <r>
    <x v="7"/>
    <x v="77"/>
    <s v="8606"/>
    <s v="Gødvad Sogn"/>
    <s v="Gødvad Kirke"/>
    <s v="Kirke"/>
  </r>
  <r>
    <x v="7"/>
    <x v="77"/>
    <s v="8607"/>
    <s v="Svostrup Sogn"/>
    <s v="Svostrup Kirke"/>
    <s v="Kirke"/>
  </r>
  <r>
    <x v="7"/>
    <x v="77"/>
    <s v="8608"/>
    <s v="Sejling Sogn"/>
    <s v="Sejling Kirke"/>
    <s v="Kirke"/>
  </r>
  <r>
    <x v="7"/>
    <x v="77"/>
    <s v="8609"/>
    <s v="Sinding Sogn"/>
    <s v="Sinding Kirke"/>
    <s v="Kirke"/>
  </r>
  <r>
    <x v="7"/>
    <x v="77"/>
    <s v="8610"/>
    <s v="Kragelund Sogn"/>
    <s v="Kragelund Kirke"/>
    <s v="Kirke"/>
  </r>
  <r>
    <x v="7"/>
    <x v="77"/>
    <s v="8611"/>
    <s v="Funder Sogn"/>
    <s v="Funder Kirke"/>
    <s v="Kirke"/>
  </r>
  <r>
    <x v="7"/>
    <x v="77"/>
    <s v="9132"/>
    <s v="Virklund Sogn"/>
    <s v="Virklund Kirke"/>
    <s v="Kirke"/>
  </r>
  <r>
    <x v="7"/>
    <x v="77"/>
    <s v="9143"/>
    <s v="Sejs-Svejbæk Sogn"/>
    <s v="Sejs-Svejbæk Kirke"/>
    <s v="Kirke"/>
  </r>
  <r>
    <x v="7"/>
    <x v="77"/>
    <s v="9348"/>
    <s v="Gjern-Skannerup Sogn"/>
    <s v="Skannerup Kirke"/>
    <s v="Kirke"/>
  </r>
  <r>
    <x v="7"/>
    <x v="77"/>
    <s v="9348"/>
    <s v="Gjern-Skannerup Sogn"/>
    <s v="Gjern Kirke"/>
    <s v="Kirke"/>
  </r>
  <r>
    <x v="7"/>
    <x v="78"/>
    <s v="8135"/>
    <s v="Haslund Sogn"/>
    <s v="Haslund Kirke"/>
    <s v="Kirke"/>
  </r>
  <r>
    <x v="7"/>
    <x v="78"/>
    <s v="8136"/>
    <s v="Ølst Sogn"/>
    <s v="Ølst Kirke"/>
    <s v="Kirke"/>
  </r>
  <r>
    <x v="7"/>
    <x v="78"/>
    <s v="8137"/>
    <s v="Værum Sogn"/>
    <s v="Værum Kirke"/>
    <s v="Kirke"/>
  </r>
  <r>
    <x v="7"/>
    <x v="78"/>
    <s v="8138"/>
    <s v="Ørum Sogn"/>
    <s v="Ørum Kirke"/>
    <s v="Kirke"/>
  </r>
  <r>
    <x v="7"/>
    <x v="78"/>
    <s v="8145"/>
    <s v="Årslev Sogn"/>
    <s v="Årslev Kirke"/>
    <s v="Kirke"/>
  </r>
  <r>
    <x v="7"/>
    <x v="78"/>
    <s v="8146"/>
    <s v="Vorup Sogn"/>
    <s v="Vorup Kapel"/>
    <s v="Kirke"/>
  </r>
  <r>
    <x v="7"/>
    <x v="78"/>
    <s v="8146"/>
    <s v="Vorup Sogn"/>
    <s v="Johanneskirken"/>
    <s v="Kirke"/>
  </r>
  <r>
    <x v="7"/>
    <x v="78"/>
    <s v="8153"/>
    <s v="Kousted Sogn"/>
    <s v="Kousted Kirke"/>
    <s v="Kirke"/>
  </r>
  <r>
    <x v="7"/>
    <x v="78"/>
    <s v="8154"/>
    <s v="Råsted Sogn"/>
    <s v="Råsted Kirke"/>
    <s v="Kirke"/>
  </r>
  <r>
    <x v="7"/>
    <x v="78"/>
    <s v="8183"/>
    <s v="Sankt Clemens Sogn"/>
    <s v="Sankt Clemens Kirke"/>
    <s v="Kirke"/>
  </r>
  <r>
    <x v="7"/>
    <x v="78"/>
    <s v="8208"/>
    <s v="Borup Sogn"/>
    <s v="Borup Kirke"/>
    <s v="Kirke"/>
  </r>
  <r>
    <x v="7"/>
    <x v="78"/>
    <s v="8213"/>
    <s v="Kristrup Sogn"/>
    <s v="Kristrup Kirke"/>
    <s v="Kirke"/>
  </r>
  <r>
    <x v="7"/>
    <x v="78"/>
    <s v="8213"/>
    <s v="Kristrup Sogn"/>
    <s v="Kristrup Kapel"/>
    <s v="Kirkesal"/>
  </r>
  <r>
    <x v="7"/>
    <x v="78"/>
    <s v="8214"/>
    <s v="Virring Sogn"/>
    <s v="Virring Kirke"/>
    <s v="Kirke"/>
  </r>
  <r>
    <x v="7"/>
    <x v="78"/>
    <s v="8215"/>
    <s v="Essenbæk Sogn"/>
    <s v="Essenbæk Kirke"/>
    <s v="Kirke"/>
  </r>
  <r>
    <x v="7"/>
    <x v="78"/>
    <s v="8216"/>
    <s v="Hørning Sogn"/>
    <s v="Hørning Kirke"/>
    <s v="Kirke"/>
  </r>
  <r>
    <x v="7"/>
    <x v="78"/>
    <s v="8513"/>
    <s v="Øster Bjerregrav Sogn"/>
    <s v="Øster Bjerregrav Kirke"/>
    <s v="Kirke"/>
  </r>
  <r>
    <x v="7"/>
    <x v="78"/>
    <s v="8514"/>
    <s v="Ålum Sogn"/>
    <s v="Ålum Kirke"/>
    <s v="Kirke"/>
  </r>
  <r>
    <x v="7"/>
    <x v="78"/>
    <s v="8515"/>
    <s v="Tånum Sogn"/>
    <s v="Tånum Kirke"/>
    <s v="Kirke"/>
  </r>
  <r>
    <x v="7"/>
    <x v="78"/>
    <s v="8516"/>
    <s v="Hornbæk Sogn"/>
    <s v="Hornbæk Kirke"/>
    <s v="Kirke"/>
  </r>
  <r>
    <x v="7"/>
    <x v="78"/>
    <s v="8628"/>
    <s v="Øster Velling Sogn"/>
    <s v="Øster Velling Kirke"/>
    <s v="Kirke"/>
  </r>
  <r>
    <x v="7"/>
    <x v="78"/>
    <s v="8629"/>
    <s v="Helstrup Sogn"/>
    <s v="Helstrup Kirke"/>
    <s v="Kirke"/>
  </r>
  <r>
    <x v="7"/>
    <x v="78"/>
    <s v="8630"/>
    <s v="Grensten Sogn"/>
    <s v="Grensten Kirke"/>
    <s v="Kirke"/>
  </r>
  <r>
    <x v="7"/>
    <x v="78"/>
    <s v="8631"/>
    <s v="Langå Sogn"/>
    <s v="Langå Kirke"/>
    <s v="Kirke"/>
  </r>
  <r>
    <x v="7"/>
    <x v="78"/>
    <s v="8632"/>
    <s v="Torup Sogn"/>
    <s v="Torup Kirke"/>
    <s v="Kirke"/>
  </r>
  <r>
    <x v="7"/>
    <x v="78"/>
    <s v="9151"/>
    <s v="Enghøj Sogn"/>
    <s v="Enghøj Kirke"/>
    <s v="Kirke"/>
  </r>
  <r>
    <x v="7"/>
    <x v="79"/>
    <s v="8149"/>
    <s v="Vester Tørslev Sogn"/>
    <s v="Vester Tørslev Kirke"/>
    <s v="Kirke"/>
  </r>
  <r>
    <x v="7"/>
    <x v="79"/>
    <s v="8150"/>
    <s v="Svenstrup Sogn"/>
    <s v="Svenstrup Kirke"/>
    <s v="Kirke"/>
  </r>
  <r>
    <x v="7"/>
    <x v="79"/>
    <s v="8185"/>
    <s v="Glenstrup Sogn"/>
    <s v="Glenstrup Kirke"/>
    <s v="Kirke"/>
  </r>
  <r>
    <x v="7"/>
    <x v="79"/>
    <s v="8186"/>
    <s v="Skjellerup Sogn"/>
    <s v="Skjellerup Kirke"/>
    <s v="Kirke"/>
  </r>
  <r>
    <x v="7"/>
    <x v="79"/>
    <s v="8198"/>
    <s v="Hobro Sogn"/>
    <s v="Hobro Kirke"/>
    <s v="Kirke"/>
  </r>
  <r>
    <x v="7"/>
    <x v="79"/>
    <s v="8198"/>
    <s v="Hobro Sogn"/>
    <s v="Hobro Søndre Kapel"/>
    <s v="Kirke"/>
  </r>
  <r>
    <x v="7"/>
    <x v="79"/>
    <s v="8198"/>
    <s v="Hobro Sogn"/>
    <s v="Hobro Sygehus Kapel"/>
    <s v="Kirke"/>
  </r>
  <r>
    <x v="7"/>
    <x v="79"/>
    <s v="8199"/>
    <s v="Mariager Sogn"/>
    <s v="Mariager Kirke"/>
    <s v="Kirke"/>
  </r>
  <r>
    <x v="7"/>
    <x v="79"/>
    <s v="8202"/>
    <s v="Hem Sogn"/>
    <s v="Hem Kirke"/>
    <s v="Kirke"/>
  </r>
  <r>
    <x v="7"/>
    <x v="79"/>
    <s v="8203"/>
    <s v="Sem Sogn"/>
    <s v="Sem Kirke"/>
    <s v="Kirke"/>
  </r>
  <r>
    <x v="7"/>
    <x v="79"/>
    <s v="8204"/>
    <s v="Sønder Onsild Sogn"/>
    <s v="Sønder Onsild Kirke"/>
    <s v="Kirke"/>
  </r>
  <r>
    <x v="7"/>
    <x v="79"/>
    <s v="8205"/>
    <s v="Nørre Onsild Sogn"/>
    <s v="Nørre Onsild Kirke"/>
    <s v="Kirke"/>
  </r>
  <r>
    <x v="7"/>
    <x v="79"/>
    <s v="8206"/>
    <s v="Hvornum Sogn"/>
    <s v="Hvornum Kirke"/>
    <s v="Kirke"/>
  </r>
  <r>
    <x v="7"/>
    <x v="79"/>
    <s v="8207"/>
    <s v="Snæbum Sogn"/>
    <s v="Snæbum Kirke"/>
    <s v="Kirke"/>
  </r>
  <r>
    <x v="7"/>
    <x v="79"/>
    <s v="8315"/>
    <s v="Øls Sogn"/>
    <s v="Øls Kirke"/>
    <s v="Kirke"/>
  </r>
  <r>
    <x v="7"/>
    <x v="79"/>
    <s v="8316"/>
    <s v="Hørby Sogn"/>
    <s v="Hørby Kirke"/>
    <s v="Kirke"/>
  </r>
  <r>
    <x v="7"/>
    <x v="79"/>
    <s v="8317"/>
    <s v="Døstrup Sogn"/>
    <s v="Døstrup Kirke"/>
    <s v="Kirke"/>
  </r>
  <r>
    <x v="7"/>
    <x v="79"/>
    <s v="8524"/>
    <s v="Hvilsom Sogn"/>
    <s v="Hvilsom Kirke"/>
    <s v="Kirke"/>
  </r>
  <r>
    <x v="7"/>
    <x v="79"/>
    <s v="9173"/>
    <s v="Falslev-Vindblæs Sogn"/>
    <s v="Assens Kirke"/>
    <s v="Filialkirke"/>
  </r>
  <r>
    <x v="7"/>
    <x v="79"/>
    <s v="9173"/>
    <s v="Falslev-Vindblæs Sogn"/>
    <s v="Vindblæs Kirke"/>
    <s v="Kirke"/>
  </r>
  <r>
    <x v="7"/>
    <x v="79"/>
    <s v="9173"/>
    <s v="Falslev-Vindblæs Sogn"/>
    <s v="Falslev Kirke"/>
    <s v="Kirke"/>
  </r>
  <r>
    <x v="7"/>
    <x v="80"/>
    <s v="8172"/>
    <s v="Hyllested Sogn"/>
    <s v="Hyllested Kirke"/>
    <s v="Kirke"/>
  </r>
  <r>
    <x v="7"/>
    <x v="80"/>
    <s v="8173"/>
    <s v="Rosmus Sogn"/>
    <s v="Rosmus Kirke"/>
    <s v="Kirke"/>
  </r>
  <r>
    <x v="7"/>
    <x v="80"/>
    <s v="8174"/>
    <s v="Tirstrup Sogn"/>
    <s v="Tirstrup Kirke"/>
    <s v="Kirke"/>
  </r>
  <r>
    <x v="7"/>
    <x v="80"/>
    <s v="8175"/>
    <s v="Fuglslev Sogn"/>
    <s v="Fuglslev Kirke"/>
    <s v="Kirke"/>
  </r>
  <r>
    <x v="7"/>
    <x v="80"/>
    <s v="8176"/>
    <s v="Feldballe Sogn"/>
    <s v="Feldballe Kirke"/>
    <s v="Kirke"/>
  </r>
  <r>
    <x v="7"/>
    <x v="80"/>
    <s v="8177"/>
    <s v="Nødager Sogn"/>
    <s v="Nødager Kirke"/>
    <s v="Kirke"/>
  </r>
  <r>
    <x v="7"/>
    <x v="80"/>
    <s v="8219"/>
    <s v="Marie Magdalene-Pindstrup Sogn"/>
    <s v="Marie Magdalene Kirke"/>
    <s v="Kirke"/>
  </r>
  <r>
    <x v="7"/>
    <x v="80"/>
    <s v="8219"/>
    <s v="Marie Magdalene-Pindstrup Sogn"/>
    <s v="Pindstrup Kirke"/>
    <s v="Filialkirke"/>
  </r>
  <r>
    <x v="7"/>
    <x v="80"/>
    <s v="8220"/>
    <s v="Koed Sogn"/>
    <s v="Koed Kirke"/>
    <s v="Kirke"/>
  </r>
  <r>
    <x v="7"/>
    <x v="80"/>
    <s v="8223"/>
    <s v="Hvilsager Sogn"/>
    <s v="Hvilsager Kirke"/>
    <s v="Kirke"/>
  </r>
  <r>
    <x v="7"/>
    <x v="80"/>
    <s v="8224"/>
    <s v="Lime Sogn"/>
    <s v="Lime Kirke"/>
    <s v="Kirke"/>
  </r>
  <r>
    <x v="7"/>
    <x v="80"/>
    <s v="8225"/>
    <s v="Mygind Sogn"/>
    <s v="Mygind Kirke"/>
    <s v="Kirke"/>
  </r>
  <r>
    <x v="7"/>
    <x v="80"/>
    <s v="8226"/>
    <s v="Krogsbæk Sogn"/>
    <s v="Karlby Kirke"/>
    <s v="Kirke"/>
  </r>
  <r>
    <x v="7"/>
    <x v="80"/>
    <s v="8227"/>
    <s v="Skørring Sogn"/>
    <s v="Skørring Kirke"/>
    <s v="Kirke"/>
  </r>
  <r>
    <x v="7"/>
    <x v="80"/>
    <s v="8228"/>
    <s v="Søby Sogn"/>
    <s v="Søby Kirke"/>
    <s v="Kirke"/>
  </r>
  <r>
    <x v="7"/>
    <x v="80"/>
    <s v="8229"/>
    <s v="Skader Sogn"/>
    <s v="Skader Kirke"/>
    <s v="Kirke"/>
  </r>
  <r>
    <x v="7"/>
    <x v="80"/>
    <s v="8230"/>
    <s v="Halling Sogn"/>
    <s v="Halling Kirke"/>
    <s v="Kirke"/>
  </r>
  <r>
    <x v="7"/>
    <x v="80"/>
    <s v="8242"/>
    <s v="Thorsager Sogn"/>
    <s v="Thorsager Kirke"/>
    <s v="Kirke"/>
  </r>
  <r>
    <x v="7"/>
    <x v="80"/>
    <s v="8242"/>
    <s v="Thorsager Sogn"/>
    <s v="Thorsager Kapel"/>
    <s v="Kirke"/>
  </r>
  <r>
    <x v="7"/>
    <x v="80"/>
    <s v="8243"/>
    <s v="Bregnet Sogn"/>
    <s v="Bregnet Kirke"/>
    <s v="Kirke"/>
  </r>
  <r>
    <x v="7"/>
    <x v="80"/>
    <s v="8244"/>
    <s v="Mørke Sogn"/>
    <s v="Mørke Kirke"/>
    <s v="Kirke"/>
  </r>
  <r>
    <x v="7"/>
    <x v="80"/>
    <s v="8245"/>
    <s v="Hornslet Sogn"/>
    <s v="Hornslet Kirke"/>
    <s v="Kirke"/>
  </r>
  <r>
    <x v="7"/>
    <x v="80"/>
    <s v="8245"/>
    <s v="Hornslet Sogn"/>
    <s v="Hornslet Kirkegårdskapel"/>
    <s v="Kirke"/>
  </r>
  <r>
    <x v="7"/>
    <x v="80"/>
    <s v="8253"/>
    <s v="Tved Sogn"/>
    <s v="Tved Kirke"/>
    <s v="Kirke"/>
  </r>
  <r>
    <x v="7"/>
    <x v="80"/>
    <s v="8254"/>
    <s v="Agri Sogn"/>
    <s v="Agri Kirke"/>
    <s v="Kirke"/>
  </r>
  <r>
    <x v="7"/>
    <x v="80"/>
    <s v="8255"/>
    <s v="Egens Sogn"/>
    <s v="Egens Kirke"/>
    <s v="Kirke"/>
  </r>
  <r>
    <x v="7"/>
    <x v="80"/>
    <s v="8256"/>
    <s v="Knebel Sogn"/>
    <s v="Knebel Kirke"/>
    <s v="Kirke"/>
  </r>
  <r>
    <x v="7"/>
    <x v="80"/>
    <s v="8257"/>
    <s v="Rolsø Sogn"/>
    <s v="Vrinners Kirke"/>
    <s v="Kirke"/>
  </r>
  <r>
    <x v="7"/>
    <x v="80"/>
    <s v="8258"/>
    <s v="Vistoft Sogn"/>
    <s v="Vistoft Kirke"/>
    <s v="Kirke"/>
  </r>
  <r>
    <x v="7"/>
    <x v="80"/>
    <s v="8259"/>
    <s v="Helgenæs Sogn"/>
    <s v="Helgenæs Kirke"/>
    <s v="Kirke"/>
  </r>
  <r>
    <x v="7"/>
    <x v="80"/>
    <s v="9171"/>
    <s v="Ebeltoft-Dråby-Handrup Sogn"/>
    <s v="Ebeltoft Kirke"/>
    <s v="Kirke"/>
  </r>
  <r>
    <x v="7"/>
    <x v="80"/>
    <s v="9171"/>
    <s v="Ebeltoft-Dråby-Handrup Sogn"/>
    <s v="Dråby Kirke"/>
    <s v="Kirke"/>
  </r>
  <r>
    <x v="7"/>
    <x v="80"/>
    <s v="9171"/>
    <s v="Ebeltoft-Dråby-Handrup Sogn"/>
    <s v="Handrup Kirke"/>
    <s v="Kirke"/>
  </r>
  <r>
    <x v="7"/>
    <x v="80"/>
    <s v="9193"/>
    <s v="Nimtofte-Tøstrup Sogn"/>
    <s v="Tøstrup Kirke"/>
    <s v="Kirke"/>
  </r>
  <r>
    <x v="7"/>
    <x v="80"/>
    <s v="9193"/>
    <s v="Nimtofte-Tøstrup Sogn"/>
    <s v="Nimtofte Kirke"/>
    <s v="Kirke"/>
  </r>
  <r>
    <x v="7"/>
    <x v="80"/>
    <s v="9338"/>
    <s v="Kolind-Ebdrup-Skarresø Sogn"/>
    <s v="Kolind Kirke"/>
    <s v="Kirke"/>
  </r>
  <r>
    <x v="7"/>
    <x v="80"/>
    <s v="9338"/>
    <s v="Kolind-Ebdrup-Skarresø Sogn"/>
    <s v="Ebdrup Kirke"/>
    <s v="Kirke"/>
  </r>
  <r>
    <x v="7"/>
    <x v="80"/>
    <s v="9338"/>
    <s v="Kolind-Ebdrup-Skarresø Sogn"/>
    <s v="Skarresø Kirke"/>
    <s v="Kirke"/>
  </r>
  <r>
    <x v="7"/>
    <x v="81"/>
    <s v="8159"/>
    <s v="Fjellerup Sogn"/>
    <s v="Fjellerup Kirke"/>
    <s v="Kirke"/>
  </r>
  <r>
    <x v="7"/>
    <x v="81"/>
    <s v="8160"/>
    <s v="Glesborg Sogn"/>
    <s v="Glesborg Kirke"/>
    <s v="Kirke"/>
  </r>
  <r>
    <x v="7"/>
    <x v="81"/>
    <s v="8161"/>
    <s v="Ørum Sogn"/>
    <s v="Ørum Kirke"/>
    <s v="Kirke"/>
  </r>
  <r>
    <x v="7"/>
    <x v="81"/>
    <s v="8162"/>
    <s v="Ginnerup Sogn"/>
    <s v="Ginnerup Kirke"/>
    <s v="Kirke"/>
  </r>
  <r>
    <x v="7"/>
    <x v="81"/>
    <s v="8165"/>
    <s v="Anholt Sogn"/>
    <s v="Anholt Kirke"/>
    <s v="Kirke"/>
  </r>
  <r>
    <x v="7"/>
    <x v="81"/>
    <s v="8166"/>
    <s v="Ålsø Sogn"/>
    <s v="Ålsø Kirke"/>
    <s v="Kirke"/>
  </r>
  <r>
    <x v="7"/>
    <x v="81"/>
    <s v="8167"/>
    <s v="Hoed Sogn"/>
    <s v="Hoed Kirke"/>
    <s v="Kirke"/>
  </r>
  <r>
    <x v="7"/>
    <x v="81"/>
    <s v="8168"/>
    <s v="Vejlby Sogn"/>
    <s v="Vejlby Kirke"/>
    <s v="Kirke"/>
  </r>
  <r>
    <x v="7"/>
    <x v="81"/>
    <s v="8169"/>
    <s v="Homå Sogn"/>
    <s v="Homå Kirke"/>
    <s v="Kirke"/>
  </r>
  <r>
    <x v="7"/>
    <x v="81"/>
    <s v="8217"/>
    <s v="Fausing Sogn"/>
    <s v="Fausing Kirke"/>
    <s v="Kirke"/>
  </r>
  <r>
    <x v="7"/>
    <x v="81"/>
    <s v="8217"/>
    <s v="Fausing Sogn"/>
    <s v="Gl. Estrup Slotskapel"/>
    <s v="Kirkesal"/>
  </r>
  <r>
    <x v="7"/>
    <x v="81"/>
    <s v="8218"/>
    <s v="Auning Sogn"/>
    <s v="Auning Kirke"/>
    <s v="Kirke"/>
  </r>
  <r>
    <x v="7"/>
    <x v="81"/>
    <s v="8221"/>
    <s v="Øster Alling Sogn"/>
    <s v="Øster Alling Kirke"/>
    <s v="Kirke"/>
  </r>
  <r>
    <x v="7"/>
    <x v="81"/>
    <s v="8222"/>
    <s v="Vester Alling Sogn"/>
    <s v="Vester Alling Kirke"/>
    <s v="Kirke"/>
  </r>
  <r>
    <x v="7"/>
    <x v="81"/>
    <s v="8231"/>
    <s v="Grenaa Sogn"/>
    <s v="Grenaa Kirke"/>
    <s v="Kirke"/>
  </r>
  <r>
    <x v="7"/>
    <x v="81"/>
    <s v="8231"/>
    <s v="Grenaa Sogn"/>
    <s v="Sygehuskapellet i Grenaa"/>
    <s v="Kirke"/>
  </r>
  <r>
    <x v="7"/>
    <x v="81"/>
    <s v="8231"/>
    <s v="Grenaa Sogn"/>
    <s v="Norddjurs Kapel"/>
    <s v="Kirke"/>
  </r>
  <r>
    <x v="7"/>
    <x v="81"/>
    <s v="8231"/>
    <s v="Grenaa Sogn"/>
    <s v="Simon Peters Kirke"/>
    <s v="Filialkirke"/>
  </r>
  <r>
    <x v="7"/>
    <x v="81"/>
    <s v="8231"/>
    <s v="Grenaa Sogn"/>
    <s v="Grenaa Kirkegårdskapel"/>
    <s v="Kirke"/>
  </r>
  <r>
    <x v="7"/>
    <x v="81"/>
    <s v="8232"/>
    <s v="Hammelev Sogn"/>
    <s v="Hammelev Kirke"/>
    <s v="Kirke"/>
  </r>
  <r>
    <x v="7"/>
    <x v="81"/>
    <s v="8233"/>
    <s v="Enslev Sogn"/>
    <s v="Enslev Kirke"/>
    <s v="Kirke"/>
  </r>
  <r>
    <x v="7"/>
    <x v="81"/>
    <s v="8234"/>
    <s v="Karlby Sogn"/>
    <s v="Karlby Kirke"/>
    <s v="Kirke"/>
  </r>
  <r>
    <x v="7"/>
    <x v="81"/>
    <s v="8235"/>
    <s v="Voldby Sogn"/>
    <s v="Voldby Kirke"/>
    <s v="Kirke"/>
  </r>
  <r>
    <x v="7"/>
    <x v="81"/>
    <s v="8236"/>
    <s v="Veggerslev Sogn"/>
    <s v="Veggerslev Kirke"/>
    <s v="Kirke"/>
  </r>
  <r>
    <x v="7"/>
    <x v="81"/>
    <s v="8237"/>
    <s v="Villersø Sogn"/>
    <s v="Villersø Kirke"/>
    <s v="Kirke"/>
  </r>
  <r>
    <x v="7"/>
    <x v="81"/>
    <s v="8238"/>
    <s v="Gjerrild Sogn"/>
    <s v="Gjerrild Kirke"/>
    <s v="Kirke"/>
  </r>
  <r>
    <x v="7"/>
    <x v="81"/>
    <s v="8238"/>
    <s v="Gjerrild Sogn"/>
    <s v="Maria Hjerte Kirke, Gjerrild"/>
    <s v="Kirke"/>
  </r>
  <r>
    <x v="7"/>
    <x v="81"/>
    <s v="8239"/>
    <s v="Hemmed Sogn"/>
    <s v="Hemmed Kirke"/>
    <s v="Kirke"/>
  </r>
  <r>
    <x v="7"/>
    <x v="81"/>
    <s v="8240"/>
    <s v="Rimsø Sogn"/>
    <s v="Rimsø Kirke"/>
    <s v="Kirke"/>
  </r>
  <r>
    <x v="7"/>
    <x v="81"/>
    <s v="8241"/>
    <s v="Kastbjerg Sogn"/>
    <s v="Kastbjerg Kirke"/>
    <s v="Kirke"/>
  </r>
  <r>
    <x v="7"/>
    <x v="81"/>
    <s v="8260"/>
    <s v="Holbæk Sogn"/>
    <s v="Holbæk Kirke"/>
    <s v="Kirke"/>
  </r>
  <r>
    <x v="7"/>
    <x v="81"/>
    <s v="8261"/>
    <s v="Udby Sogn"/>
    <s v="Udby Kirke"/>
    <s v="Kirke"/>
  </r>
  <r>
    <x v="7"/>
    <x v="81"/>
    <s v="8262"/>
    <s v="Voer Sogn"/>
    <s v="Voer Kirke"/>
    <s v="Kirke"/>
  </r>
  <r>
    <x v="7"/>
    <x v="81"/>
    <s v="8263"/>
    <s v="Estruplund Sogn"/>
    <s v="Estruplund Kirke"/>
    <s v="Kirke"/>
  </r>
  <r>
    <x v="7"/>
    <x v="81"/>
    <s v="8264"/>
    <s v="Ørsted Sogn"/>
    <s v="Ørsted Kirke"/>
    <s v="Kirke"/>
  </r>
  <r>
    <x v="7"/>
    <x v="81"/>
    <s v="8265"/>
    <s v="Vivild Sogn"/>
    <s v="Vivild Kirke"/>
    <s v="Kirke"/>
  </r>
  <r>
    <x v="7"/>
    <x v="81"/>
    <s v="8266"/>
    <s v="Vejlby Sogn"/>
    <s v="Vejlby Kirke"/>
    <s v="Kirke"/>
  </r>
  <r>
    <x v="7"/>
    <x v="81"/>
    <s v="8267"/>
    <s v="Gjesing Sogn"/>
    <s v="Gjesing Kirke"/>
    <s v="Kirke"/>
  </r>
  <r>
    <x v="7"/>
    <x v="81"/>
    <s v="8268"/>
    <s v="Nørager Sogn"/>
    <s v="Nørager Kirke"/>
    <s v="Kirke"/>
  </r>
  <r>
    <x v="7"/>
    <x v="81"/>
    <s v="9159"/>
    <s v="Stenvad Sogn"/>
    <s v="Stenvad Kirke"/>
    <s v="Kirke"/>
  </r>
  <r>
    <x v="7"/>
    <x v="81"/>
    <s v="9327"/>
    <s v="Lyngby-Albøge Sogn"/>
    <s v="Trustrup Kirke"/>
    <s v="Filialkirke"/>
  </r>
  <r>
    <x v="7"/>
    <x v="81"/>
    <s v="9327"/>
    <s v="Lyngby-Albøge Sogn"/>
    <s v="Albøge Kirke"/>
    <s v="Kirke"/>
  </r>
  <r>
    <x v="7"/>
    <x v="81"/>
    <s v="9327"/>
    <s v="Lyngby-Albøge Sogn"/>
    <s v="Lyngby Kirke"/>
    <s v="Kirke"/>
  </r>
  <r>
    <x v="7"/>
    <x v="82"/>
    <s v="8022"/>
    <s v="Hammel Sogn"/>
    <s v="Hammel Kirke"/>
    <s v="Kirke"/>
  </r>
  <r>
    <x v="7"/>
    <x v="82"/>
    <s v="8023"/>
    <s v="Voldby Sogn"/>
    <s v="Voldby Kirke"/>
    <s v="Kirke"/>
  </r>
  <r>
    <x v="7"/>
    <x v="82"/>
    <s v="8024"/>
    <s v="Søby Sogn"/>
    <s v="Søby Kirke"/>
    <s v="Kirke"/>
  </r>
  <r>
    <x v="7"/>
    <x v="82"/>
    <s v="8029"/>
    <s v="Røgen Sogn"/>
    <s v="Røgen Kirke"/>
    <s v="Kirke"/>
  </r>
  <r>
    <x v="7"/>
    <x v="82"/>
    <s v="8030"/>
    <s v="Sporup Sogn"/>
    <s v="Sporup Kirke"/>
    <s v="Kirke"/>
  </r>
  <r>
    <x v="7"/>
    <x v="82"/>
    <s v="8060"/>
    <s v="Lyngå Sogn"/>
    <s v="Lyngå Kirke"/>
    <s v="Kirke"/>
  </r>
  <r>
    <x v="7"/>
    <x v="82"/>
    <s v="8061"/>
    <s v="Vitten Sogn"/>
    <s v="Vitten Kirke"/>
    <s v="Kirke"/>
  </r>
  <r>
    <x v="7"/>
    <x v="82"/>
    <s v="8062"/>
    <s v="Haldum Sogn"/>
    <s v="Haldum Kirke"/>
    <s v="Kirke"/>
  </r>
  <r>
    <x v="7"/>
    <x v="82"/>
    <s v="8062"/>
    <s v="Haldum Sogn"/>
    <s v="Haldum Kapel"/>
    <s v="Kirke"/>
  </r>
  <r>
    <x v="7"/>
    <x v="82"/>
    <s v="8064"/>
    <s v="Lading Sogn"/>
    <s v="Lading Kirke"/>
    <s v="Kirke"/>
  </r>
  <r>
    <x v="7"/>
    <x v="82"/>
    <s v="8067"/>
    <s v="Grundfør Sogn"/>
    <s v="Grundfør Kirke"/>
    <s v="Kirke"/>
  </r>
  <r>
    <x v="7"/>
    <x v="82"/>
    <s v="8067"/>
    <s v="Grundfør Sogn"/>
    <s v="Grundfør Kapel"/>
    <s v="Kirke"/>
  </r>
  <r>
    <x v="7"/>
    <x v="82"/>
    <s v="8069"/>
    <s v="Søften Sogn"/>
    <s v="Søften Kirke"/>
    <s v="Kirke"/>
  </r>
  <r>
    <x v="7"/>
    <x v="82"/>
    <s v="8069"/>
    <s v="Søften Sogn"/>
    <s v="Søften Kapel"/>
    <s v="Kirke"/>
  </r>
  <r>
    <x v="7"/>
    <x v="82"/>
    <s v="8070"/>
    <s v="Foldby Sogn"/>
    <s v="Foldby Kirke"/>
    <s v="Kirke"/>
  </r>
  <r>
    <x v="7"/>
    <x v="82"/>
    <s v="8139"/>
    <s v="Laurbjerg Sogn"/>
    <s v="Laurbjerg Kirke"/>
    <s v="Kirke"/>
  </r>
  <r>
    <x v="7"/>
    <x v="82"/>
    <s v="8140"/>
    <s v="Lerbjerg Sogn"/>
    <s v="Lerbjerg Kirke"/>
    <s v="Kirke"/>
  </r>
  <r>
    <x v="7"/>
    <x v="82"/>
    <s v="8142"/>
    <s v="Vissing Sogn"/>
    <s v="Vissing Kirke"/>
    <s v="Kirke"/>
  </r>
  <r>
    <x v="7"/>
    <x v="82"/>
    <s v="8143"/>
    <s v="Voldum Sogn"/>
    <s v="Clausholm Slotskapel"/>
    <s v="Kirkesal"/>
  </r>
  <r>
    <x v="7"/>
    <x v="82"/>
    <s v="8143"/>
    <s v="Voldum Sogn"/>
    <s v="Voldum Kirke"/>
    <s v="Kirke"/>
  </r>
  <r>
    <x v="7"/>
    <x v="82"/>
    <s v="8144"/>
    <s v="Rud Sogn"/>
    <s v="Rud Kirke"/>
    <s v="Kirke"/>
  </r>
  <r>
    <x v="7"/>
    <x v="82"/>
    <s v="8147"/>
    <s v="Ødum Sogn"/>
    <s v="Ødum Kirke"/>
    <s v="Kirke"/>
  </r>
  <r>
    <x v="7"/>
    <x v="82"/>
    <s v="8148"/>
    <s v="Hadbjerg Sogn"/>
    <s v="Kollerup Kapel"/>
    <s v="Kirkesal"/>
  </r>
  <r>
    <x v="7"/>
    <x v="82"/>
    <s v="8148"/>
    <s v="Hadbjerg Sogn"/>
    <s v="Hadbjerg Kirke"/>
    <s v="Kirke"/>
  </r>
  <r>
    <x v="7"/>
    <x v="82"/>
    <s v="8486"/>
    <s v="Hvorslev Sogn"/>
    <s v="Hvorslev Kirke"/>
    <s v="Kirke"/>
  </r>
  <r>
    <x v="7"/>
    <x v="82"/>
    <s v="8487"/>
    <s v="Gerning Sogn"/>
    <s v="Gerning Kirke"/>
    <s v="Kirke"/>
  </r>
  <r>
    <x v="7"/>
    <x v="82"/>
    <s v="8488"/>
    <s v="Vellev Sogn"/>
    <s v="Vellev Kirke"/>
    <s v="Kirke"/>
  </r>
  <r>
    <x v="7"/>
    <x v="82"/>
    <s v="8489"/>
    <s v="Vejerslev Sogn"/>
    <s v="Vejerslev Kirke"/>
    <s v="Kirke"/>
  </r>
  <r>
    <x v="7"/>
    <x v="82"/>
    <s v="8490"/>
    <s v="Aidt Sogn"/>
    <s v="Aidt Kirke"/>
    <s v="Kirke"/>
  </r>
  <r>
    <x v="7"/>
    <x v="82"/>
    <s v="8491"/>
    <s v="Thorsø Sogn"/>
    <s v="Thorsø Kirke"/>
    <s v="Kirke"/>
  </r>
  <r>
    <x v="7"/>
    <x v="82"/>
    <s v="8492"/>
    <s v="Houlbjerg Sogn"/>
    <s v="Houlbjerg Kirke"/>
    <s v="Kirke"/>
  </r>
  <r>
    <x v="7"/>
    <x v="82"/>
    <s v="8493"/>
    <s v="Granslev Sogn"/>
    <s v="Granslev Kirke"/>
    <s v="Kirke"/>
  </r>
  <r>
    <x v="7"/>
    <x v="82"/>
    <s v="8494"/>
    <s v="Haurum Sogn"/>
    <s v="Haurum Kirke"/>
    <s v="Kirke"/>
  </r>
  <r>
    <x v="7"/>
    <x v="82"/>
    <s v="8495"/>
    <s v="Sall Sogn"/>
    <s v="Sall Kirke"/>
    <s v="Kirke"/>
  </r>
  <r>
    <x v="7"/>
    <x v="82"/>
    <s v="8537"/>
    <s v="Skjød Sogn"/>
    <s v="Skjød Kirke"/>
    <s v="Kirke"/>
  </r>
  <r>
    <x v="7"/>
    <x v="82"/>
    <s v="8626"/>
    <s v="Vester Velling Sogn"/>
    <s v="Vester Velling Kirke"/>
    <s v="Kirke"/>
  </r>
  <r>
    <x v="7"/>
    <x v="82"/>
    <s v="8633"/>
    <s v="Sønder Vinge Sogn"/>
    <s v="Sønder Vinge Kirke"/>
    <s v="Kirke"/>
  </r>
  <r>
    <x v="7"/>
    <x v="82"/>
    <s v="9102"/>
    <s v="Ulstrupbro Sogn"/>
    <s v="Ulstrupbro Kirke"/>
    <s v="Kirke"/>
  </r>
  <r>
    <x v="7"/>
    <x v="82"/>
    <s v="9316"/>
    <s v="Hadsten Sogn"/>
    <s v="Sankt Pauls Kirke"/>
    <s v="Kirke"/>
  </r>
  <r>
    <x v="7"/>
    <x v="82"/>
    <s v="9316"/>
    <s v="Hadsten Sogn"/>
    <s v="Over Hadsten Kirke"/>
    <s v="Kirke"/>
  </r>
  <r>
    <x v="7"/>
    <x v="82"/>
    <s v="9316"/>
    <s v="Hadsten Sogn"/>
    <s v="Nørre Galten Kirke"/>
    <s v="Kirke"/>
  </r>
  <r>
    <x v="7"/>
    <x v="83"/>
    <s v="8068"/>
    <s v="Spørring Sogn"/>
    <s v="Spørring Kirke"/>
    <s v="Kirke"/>
  </r>
  <r>
    <x v="7"/>
    <x v="83"/>
    <s v="8071"/>
    <s v="Trige Sogn"/>
    <s v="Trige Kirke"/>
    <s v="Kirke"/>
  </r>
  <r>
    <x v="7"/>
    <x v="83"/>
    <s v="8072"/>
    <s v="Ølsted Sogn"/>
    <s v="Ølsted Kirke"/>
    <s v="Kirke"/>
  </r>
  <r>
    <x v="7"/>
    <x v="83"/>
    <s v="8073"/>
    <s v="Elsted Sogn"/>
    <s v="Elsted Kirke"/>
    <s v="Kirke"/>
  </r>
  <r>
    <x v="7"/>
    <x v="83"/>
    <s v="8074"/>
    <s v="Elev Sogn"/>
    <s v="Elev Kirke"/>
    <s v="Kirke"/>
  </r>
  <r>
    <x v="7"/>
    <x v="83"/>
    <s v="8074"/>
    <s v="Elev Sogn"/>
    <s v="Fællesskabets Hus"/>
    <s v="Kirke"/>
  </r>
  <r>
    <x v="7"/>
    <x v="83"/>
    <s v="8123"/>
    <s v="Vejlby Sogn"/>
    <s v="Vejlby Kirke"/>
    <s v="Kirke"/>
  </r>
  <r>
    <x v="7"/>
    <x v="83"/>
    <s v="8124"/>
    <s v="Risskov Sogn"/>
    <s v="Risskov Kirke"/>
    <s v="Kirke"/>
  </r>
  <r>
    <x v="7"/>
    <x v="83"/>
    <s v="8124"/>
    <s v="Risskov Sogn"/>
    <s v="Risskov Kirkes Kapel"/>
    <s v="Kirke"/>
  </r>
  <r>
    <x v="7"/>
    <x v="83"/>
    <s v="8246"/>
    <s v="Skødstrup Sogn"/>
    <s v="Skødstrup Kirke"/>
    <s v="Kirke"/>
  </r>
  <r>
    <x v="7"/>
    <x v="83"/>
    <s v="8247"/>
    <s v="Todbjerg Sogn"/>
    <s v="Todbjerg Kirke"/>
    <s v="Kirke"/>
  </r>
  <r>
    <x v="7"/>
    <x v="83"/>
    <s v="8248"/>
    <s v="Mejlby Sogn"/>
    <s v="Mejlby Kirke"/>
    <s v="Kirke"/>
  </r>
  <r>
    <x v="7"/>
    <x v="83"/>
    <s v="8249"/>
    <s v="Hjortshøj Sogn"/>
    <s v="Hjortshøj Kirke"/>
    <s v="Kirke"/>
  </r>
  <r>
    <x v="7"/>
    <x v="83"/>
    <s v="8250"/>
    <s v="Egå Sogn"/>
    <s v="Egå Kirke"/>
    <s v="Kirke"/>
  </r>
  <r>
    <x v="7"/>
    <x v="83"/>
    <s v="9088"/>
    <s v="Ellevang Sogn"/>
    <s v="Ellevang Kirke"/>
    <s v="Kirke"/>
  </r>
  <r>
    <x v="7"/>
    <x v="83"/>
    <s v="9146"/>
    <s v="Lystrup Sogn"/>
    <s v="Lystrup Kirke"/>
    <s v="Kirke"/>
  </r>
  <r>
    <x v="7"/>
    <x v="83"/>
    <s v="9147"/>
    <s v="Skelager Sogn"/>
    <s v="Skelager Kirke"/>
    <s v="Kirke"/>
  </r>
  <r>
    <x v="7"/>
    <x v="83"/>
    <s v="9158"/>
    <s v="Skæring Sogn"/>
    <s v="Skæring Kirke"/>
    <s v="Kirke"/>
  </r>
  <r>
    <x v="7"/>
    <x v="83"/>
    <s v="9337"/>
    <s v="Skejby-Lisbjerg Sogn"/>
    <s v="Skejby Kirke"/>
    <s v="Kirke"/>
  </r>
  <r>
    <x v="7"/>
    <x v="83"/>
    <s v="9337"/>
    <s v="Skejby-Lisbjerg Sogn"/>
    <s v="Lisbjerg Kirke"/>
    <s v="Kirke"/>
  </r>
  <r>
    <x v="7"/>
    <x v="83"/>
    <s v="9337"/>
    <s v="Skejby-Lisbjerg Sogn"/>
    <s v="Kapellet i Skejby, Aarhus Universitetshospital"/>
    <s v="Kirke"/>
  </r>
  <r>
    <x v="7"/>
    <x v="84"/>
    <s v="8036"/>
    <s v="Vitved Sogn"/>
    <s v="Vitved Kirke"/>
    <s v="Kirke"/>
  </r>
  <r>
    <x v="7"/>
    <x v="84"/>
    <s v="8100"/>
    <s v="Viby Sogn"/>
    <s v="Viby Kirke"/>
    <s v="Kirke"/>
  </r>
  <r>
    <x v="7"/>
    <x v="84"/>
    <s v="8101"/>
    <s v="Fredens Sogn"/>
    <s v="Fredenskirken"/>
    <s v="Kirke"/>
  </r>
  <r>
    <x v="7"/>
    <x v="84"/>
    <s v="8102"/>
    <s v="Holme Sogn"/>
    <s v="Holme Kirke"/>
    <s v="Kirke"/>
  </r>
  <r>
    <x v="7"/>
    <x v="84"/>
    <s v="8102"/>
    <s v="Holme Sogn"/>
    <s v="Holme Kirkegårds Kapel, Aarhus Kommune"/>
    <s v="Kirke"/>
  </r>
  <r>
    <x v="7"/>
    <x v="84"/>
    <s v="8102"/>
    <s v="Holme Sogn"/>
    <s v="Lyseng Kirke"/>
    <s v="Kirke"/>
  </r>
  <r>
    <x v="7"/>
    <x v="84"/>
    <s v="8103"/>
    <s v="Tranbjerg Sogn"/>
    <s v="Tranbjerg Kirke"/>
    <s v="Kirke"/>
  </r>
  <r>
    <x v="7"/>
    <x v="84"/>
    <s v="8104"/>
    <s v="Skåde Sogn"/>
    <s v="Frederikskirken"/>
    <s v="Kirke"/>
  </r>
  <r>
    <x v="7"/>
    <x v="84"/>
    <s v="8105"/>
    <s v="Mårslet Sogn"/>
    <s v="Moesgård Stavkirke"/>
    <s v="Kirkesal"/>
  </r>
  <r>
    <x v="7"/>
    <x v="84"/>
    <s v="8105"/>
    <s v="Mårslet Sogn"/>
    <s v="Mårslet Kirke"/>
    <s v="Kirke"/>
  </r>
  <r>
    <x v="7"/>
    <x v="84"/>
    <s v="8106"/>
    <s v="Tiset Sogn"/>
    <s v="Tiset Kirke"/>
    <s v="Kirke"/>
  </r>
  <r>
    <x v="7"/>
    <x v="84"/>
    <s v="8107"/>
    <s v="Ormslev Sogn"/>
    <s v="Ormslev Kirke"/>
    <s v="Kirke"/>
  </r>
  <r>
    <x v="7"/>
    <x v="84"/>
    <s v="8108"/>
    <s v="Kolt Sogn"/>
    <s v="Kolt Kirke"/>
    <s v="Kirke"/>
  </r>
  <r>
    <x v="7"/>
    <x v="84"/>
    <s v="8108"/>
    <s v="Kolt Sogn"/>
    <s v="Bering Valgmenighedskirke"/>
    <s v="Kirkesal"/>
  </r>
  <r>
    <x v="7"/>
    <x v="84"/>
    <s v="8109"/>
    <s v="Beder Sogn"/>
    <s v="Beder Kirke"/>
    <s v="Kirke"/>
  </r>
  <r>
    <x v="7"/>
    <x v="84"/>
    <s v="8110"/>
    <s v="Malling Sogn"/>
    <s v="Malling Kirke"/>
    <s v="Kirke"/>
  </r>
  <r>
    <x v="7"/>
    <x v="84"/>
    <s v="8111"/>
    <s v="Astrup Sogn"/>
    <s v="Astrup Kirke"/>
    <s v="Kirke"/>
  </r>
  <r>
    <x v="7"/>
    <x v="84"/>
    <s v="8112"/>
    <s v="Tulstrup Sogn"/>
    <s v="Tulstrup Kirke"/>
    <s v="Kirke"/>
  </r>
  <r>
    <x v="7"/>
    <x v="84"/>
    <s v="8113"/>
    <s v="Hvilsted Sogn"/>
    <s v="Hvilsted Kirke"/>
    <s v="Kirke"/>
  </r>
  <r>
    <x v="7"/>
    <x v="84"/>
    <s v="9096"/>
    <s v="Ravnsbjerg Sogn"/>
    <s v="Ravnsbjergkirken"/>
    <s v="Kirke"/>
  </r>
  <r>
    <x v="7"/>
    <x v="85"/>
    <s v="8133"/>
    <s v="Støvring Sogn"/>
    <s v="Støvringgaard Kirkesal"/>
    <s v="Kirke"/>
  </r>
  <r>
    <x v="7"/>
    <x v="85"/>
    <s v="8133"/>
    <s v="Støvring Sogn"/>
    <s v="Støvringgaard Kloster Kirke"/>
    <s v="Filialkirke"/>
  </r>
  <r>
    <x v="7"/>
    <x v="85"/>
    <s v="8133"/>
    <s v="Støvring Sogn"/>
    <s v="Støvring Kirke"/>
    <s v="Kirke"/>
  </r>
  <r>
    <x v="7"/>
    <x v="85"/>
    <s v="8134"/>
    <s v="Mellerup Sogn"/>
    <s v="Mellerup Valgmenighedskirke"/>
    <s v="Kirkesal"/>
  </r>
  <r>
    <x v="7"/>
    <x v="85"/>
    <s v="8134"/>
    <s v="Mellerup Sogn"/>
    <s v="Mellerup Kirke"/>
    <s v="Kirke"/>
  </r>
  <r>
    <x v="7"/>
    <x v="85"/>
    <s v="8151"/>
    <s v="Asferg Sogn"/>
    <s v="Asferg Kirke"/>
    <s v="Kirke"/>
  </r>
  <r>
    <x v="7"/>
    <x v="85"/>
    <s v="8152"/>
    <s v="Fårup Sogn"/>
    <s v="Fårup Kirke"/>
    <s v="Kirke"/>
  </r>
  <r>
    <x v="7"/>
    <x v="85"/>
    <s v="8155"/>
    <s v="Spentrup Sogn"/>
    <s v="Spentrup Kirke"/>
    <s v="Kirke"/>
  </r>
  <r>
    <x v="7"/>
    <x v="85"/>
    <s v="8156"/>
    <s v="Gassum Sogn"/>
    <s v="Gassum Kirke"/>
    <s v="Kirke"/>
  </r>
  <r>
    <x v="7"/>
    <x v="85"/>
    <s v="8157"/>
    <s v="Hald Sogn"/>
    <s v="Hald Kirke"/>
    <s v="Kirke"/>
  </r>
  <r>
    <x v="7"/>
    <x v="85"/>
    <s v="8158"/>
    <s v="Kærby Sogn"/>
    <s v="Kærby Kirke"/>
    <s v="Kirke"/>
  </r>
  <r>
    <x v="7"/>
    <x v="85"/>
    <s v="8181"/>
    <s v="Sankt Mortens Sogn"/>
    <s v="Randers Klosterkirke"/>
    <s v="Filialkirke"/>
  </r>
  <r>
    <x v="7"/>
    <x v="85"/>
    <s v="8181"/>
    <s v="Sankt Mortens Sogn"/>
    <s v="Sankt Mortens Kirke"/>
    <s v="Kirke"/>
  </r>
  <r>
    <x v="7"/>
    <x v="85"/>
    <s v="8181"/>
    <s v="Sankt Mortens Sogn"/>
    <s v="Randers Østre Kapel"/>
    <s v="Kirke"/>
  </r>
  <r>
    <x v="7"/>
    <x v="85"/>
    <s v="8182"/>
    <s v="Sankt Peders Sogn"/>
    <s v="Kapellet, Regionshospitalet Randers"/>
    <s v="Kirke"/>
  </r>
  <r>
    <x v="7"/>
    <x v="85"/>
    <s v="8182"/>
    <s v="Sankt Peders Sogn"/>
    <s v="Sankt Peders Kirke"/>
    <s v="Kirke"/>
  </r>
  <r>
    <x v="7"/>
    <x v="85"/>
    <s v="8184"/>
    <s v="Dronningborg Sogn"/>
    <s v="Dronningborg Kirke"/>
    <s v="Kirke"/>
  </r>
  <r>
    <x v="7"/>
    <x v="85"/>
    <s v="8187"/>
    <s v="Tvede Sogn"/>
    <s v="Tvede Kirke"/>
    <s v="Kirke"/>
  </r>
  <r>
    <x v="7"/>
    <x v="85"/>
    <s v="8188"/>
    <s v="Linde Sogn"/>
    <s v="Linde Kirke"/>
    <s v="Kirke"/>
  </r>
  <r>
    <x v="7"/>
    <x v="85"/>
    <s v="8189"/>
    <s v="Udbyneder Sogn"/>
    <s v="Havndal Kirke"/>
    <s v="Filialkirke"/>
  </r>
  <r>
    <x v="7"/>
    <x v="85"/>
    <s v="8189"/>
    <s v="Udbyneder Sogn"/>
    <s v="Udbyneder Kirke"/>
    <s v="Kirke"/>
  </r>
  <r>
    <x v="7"/>
    <x v="85"/>
    <s v="8190"/>
    <s v="Kastbjerg Sogn"/>
    <s v="Kastbjerg Kirke"/>
    <s v="Kirke"/>
  </r>
  <r>
    <x v="7"/>
    <x v="85"/>
    <s v="8191"/>
    <s v="Dalbyneder Sogn"/>
    <s v="Dalbyneder Kirke"/>
    <s v="Kirke"/>
  </r>
  <r>
    <x v="7"/>
    <x v="85"/>
    <s v="8192"/>
    <s v="Dalbyover Sogn"/>
    <s v="Dalbyover Kirke"/>
    <s v="Kirke"/>
  </r>
  <r>
    <x v="7"/>
    <x v="85"/>
    <s v="8193"/>
    <s v="Råby Sogn"/>
    <s v="Råby Kirke"/>
    <s v="Kirke"/>
  </r>
  <r>
    <x v="7"/>
    <x v="85"/>
    <s v="8194"/>
    <s v="Sødring Sogn"/>
    <s v="Sødring Kirke"/>
    <s v="Kirke"/>
  </r>
  <r>
    <x v="7"/>
    <x v="85"/>
    <s v="8195"/>
    <s v="Øster Tørslev Sogn"/>
    <s v="Øster Tørslev Kirke"/>
    <s v="Kirke"/>
  </r>
  <r>
    <x v="7"/>
    <x v="85"/>
    <s v="8196"/>
    <s v="Gjerlev Sogn"/>
    <s v="Gjerlev Kirke"/>
    <s v="Kirke"/>
  </r>
  <r>
    <x v="7"/>
    <x v="85"/>
    <s v="8197"/>
    <s v="Enslev Sogn"/>
    <s v="Enslev Kirke"/>
    <s v="Kirke"/>
  </r>
  <r>
    <x v="7"/>
    <x v="85"/>
    <s v="8209"/>
    <s v="Gimming Sogn"/>
    <s v="Gimming Kirke"/>
    <s v="Kirke"/>
  </r>
  <r>
    <x v="7"/>
    <x v="85"/>
    <s v="8210"/>
    <s v="Lem Sogn"/>
    <s v="Lem Kirke"/>
    <s v="Kirke"/>
  </r>
  <r>
    <x v="7"/>
    <x v="85"/>
    <s v="8211"/>
    <s v="Harridslev Sogn"/>
    <s v="Harridslev Kirke"/>
    <s v="Kirke"/>
  </r>
  <r>
    <x v="7"/>
    <x v="85"/>
    <s v="8212"/>
    <s v="Albæk Sogn"/>
    <s v="Albæk Kirke"/>
    <s v="Kirke"/>
  </r>
  <r>
    <x v="7"/>
    <x v="85"/>
    <s v="8510"/>
    <s v="Nørbæk Sogn"/>
    <s v="Nørbæk Kirke"/>
    <s v="Kirke"/>
  </r>
  <r>
    <x v="7"/>
    <x v="85"/>
    <s v="8511"/>
    <s v="Sønderbæk Sogn"/>
    <s v="Sønderbæk Kirke"/>
    <s v="Kirke"/>
  </r>
  <r>
    <x v="7"/>
    <x v="85"/>
    <s v="8512"/>
    <s v="Læsten Sogn"/>
    <s v="Læsten Kirke"/>
    <s v="Kirke"/>
  </r>
  <r>
    <x v="7"/>
    <x v="85"/>
    <s v="9078"/>
    <s v="Sankt Andreas Sogn"/>
    <s v="Sankt Andreas Kirke"/>
    <s v="Kirke"/>
  </r>
  <r>
    <x v="7"/>
    <x v="85"/>
    <s v="9078"/>
    <s v="Sankt Andreas Sogn"/>
    <s v="Randers Nordre Kapel"/>
    <s v="Kirke"/>
  </r>
  <r>
    <x v="7"/>
    <x v="86"/>
    <s v="8065"/>
    <s v="Fårup Sogn"/>
    <s v="Fårup Kirke"/>
    <s v="Kirke"/>
  </r>
  <r>
    <x v="7"/>
    <x v="86"/>
    <s v="8066"/>
    <s v="Sabro Sogn"/>
    <s v="Sabro Kirke"/>
    <s v="Kirke"/>
  </r>
  <r>
    <x v="7"/>
    <x v="86"/>
    <s v="8079"/>
    <s v="Borum Sogn"/>
    <s v="Borum Kirke"/>
    <s v="Kirke"/>
  </r>
  <r>
    <x v="7"/>
    <x v="86"/>
    <s v="8080"/>
    <s v="Lyngby Sogn"/>
    <s v="Lyngby Kirke"/>
    <s v="Kirke"/>
  </r>
  <r>
    <x v="7"/>
    <x v="86"/>
    <s v="8081"/>
    <s v="Harlev Sogn"/>
    <s v="Harlev Kirke"/>
    <s v="Kirke"/>
  </r>
  <r>
    <x v="7"/>
    <x v="86"/>
    <s v="8082"/>
    <s v="Framlev Sogn"/>
    <s v="Framlev Kirke"/>
    <s v="Kirke"/>
  </r>
  <r>
    <x v="7"/>
    <x v="86"/>
    <s v="8117"/>
    <s v="Møllevang Sogn"/>
    <s v="Vestre Lille Kapel"/>
    <s v="Kirke"/>
  </r>
  <r>
    <x v="7"/>
    <x v="86"/>
    <s v="8117"/>
    <s v="Møllevang Sogn"/>
    <s v="Møllevang Kirke"/>
    <s v="Kirke"/>
  </r>
  <r>
    <x v="7"/>
    <x v="86"/>
    <s v="8117"/>
    <s v="Møllevang Sogn"/>
    <s v="Vestre Store Kapel"/>
    <s v="Kirke"/>
  </r>
  <r>
    <x v="7"/>
    <x v="86"/>
    <s v="8122"/>
    <s v="Åby Sogn"/>
    <s v="Aarhus Valgmenighed"/>
    <s v="Kirke"/>
  </r>
  <r>
    <x v="7"/>
    <x v="86"/>
    <s v="8122"/>
    <s v="Åby Sogn"/>
    <s v="Åbyhøj Kirke"/>
    <s v="Kirke"/>
  </r>
  <r>
    <x v="7"/>
    <x v="86"/>
    <s v="8122"/>
    <s v="Åby Sogn"/>
    <s v="Gammel Åby Kirke"/>
    <s v="Kirke"/>
  </r>
  <r>
    <x v="7"/>
    <x v="86"/>
    <s v="8125"/>
    <s v="Hasle Sogn"/>
    <s v="Hasle Kirke"/>
    <s v="Kirke"/>
  </r>
  <r>
    <x v="7"/>
    <x v="86"/>
    <s v="8128"/>
    <s v="Brabrand Sogn"/>
    <s v="Brabrand Kirkegårdskapel"/>
    <s v="Kirke"/>
  </r>
  <r>
    <x v="7"/>
    <x v="86"/>
    <s v="8128"/>
    <s v="Brabrand Sogn"/>
    <s v="Brabrand Kirke"/>
    <s v="Kirke"/>
  </r>
  <r>
    <x v="7"/>
    <x v="86"/>
    <s v="8129"/>
    <s v="Sønder Årslev Sogn"/>
    <s v="Sønder Aarslev Kirke"/>
    <s v="Kirke"/>
  </r>
  <r>
    <x v="7"/>
    <x v="86"/>
    <s v="8130"/>
    <s v="Tilst Sogn"/>
    <s v="Tilst Kirke"/>
    <s v="Kirke"/>
  </r>
  <r>
    <x v="7"/>
    <x v="86"/>
    <s v="8131"/>
    <s v="Kasted Sogn"/>
    <s v="Kasted Kirke"/>
    <s v="Kirke"/>
  </r>
  <r>
    <x v="7"/>
    <x v="86"/>
    <s v="9090"/>
    <s v="Helligånds Sogn"/>
    <s v="Helligåndskirken"/>
    <s v="Kirke"/>
  </r>
  <r>
    <x v="7"/>
    <x v="86"/>
    <s v="9097"/>
    <s v="Gellerup Sogn"/>
    <s v="Gellerup Kirke"/>
    <s v="Kirke"/>
  </r>
  <r>
    <x v="7"/>
    <x v="86"/>
    <s v="9135"/>
    <s v="Skjoldhøj Sogn"/>
    <s v="Skjoldhøj Kirke"/>
    <s v="Kirke"/>
  </r>
  <r>
    <x v="8"/>
    <x v="87"/>
    <s v="8886"/>
    <s v="Ribe Domsogn"/>
    <s v="Ribe Domkirke"/>
    <s v="Kirke"/>
  </r>
  <r>
    <x v="8"/>
    <x v="87"/>
    <s v="8887"/>
    <s v="Seem Sogn"/>
    <s v="Seem Kirke"/>
    <s v="Kirke"/>
  </r>
  <r>
    <x v="8"/>
    <x v="87"/>
    <s v="8888"/>
    <s v="Sankt Katharine Sogn"/>
    <s v="Sankt Katharine Kirke"/>
    <s v="Kirke"/>
  </r>
  <r>
    <x v="8"/>
    <x v="87"/>
    <s v="8888"/>
    <s v="Sankt Katharine Sogn"/>
    <s v="Ribe Kapel"/>
    <s v="Kirke"/>
  </r>
  <r>
    <x v="8"/>
    <x v="87"/>
    <s v="8889"/>
    <s v="Obbekær Sogn"/>
    <s v="Obbekjær Kirke"/>
    <s v="Kirke"/>
  </r>
  <r>
    <x v="8"/>
    <x v="87"/>
    <s v="8890"/>
    <s v="Hjortlund Sogn"/>
    <s v="Hjortlund Kirke"/>
    <s v="Kirke"/>
  </r>
  <r>
    <x v="8"/>
    <x v="87"/>
    <s v="8891"/>
    <s v="Kalvslund Sogn"/>
    <s v="Kalvslund Kirke"/>
    <s v="Kirke"/>
  </r>
  <r>
    <x v="8"/>
    <x v="87"/>
    <s v="8892"/>
    <s v="Vester Vedsted Sogn"/>
    <s v="Vester Vedsted Kirke"/>
    <s v="Kirke"/>
  </r>
  <r>
    <x v="8"/>
    <x v="87"/>
    <s v="8893"/>
    <s v="Farup Sogn"/>
    <s v="Sankt Nikolai Kirke"/>
    <s v="Kirke"/>
  </r>
  <r>
    <x v="8"/>
    <x v="87"/>
    <s v="8894"/>
    <s v="Mandø Sogn"/>
    <s v="Mandø Kirke"/>
    <s v="Kirke"/>
  </r>
  <r>
    <x v="8"/>
    <x v="87"/>
    <s v="8895"/>
    <s v="Gørding Sogn"/>
    <s v="Gørding Kirke"/>
    <s v="Kirke"/>
  </r>
  <r>
    <x v="8"/>
    <x v="87"/>
    <s v="8896"/>
    <s v="Vejrup Sogn"/>
    <s v="Vejrup Kirke"/>
    <s v="Kirke"/>
  </r>
  <r>
    <x v="8"/>
    <x v="87"/>
    <s v="8899"/>
    <s v="Darum Sogn"/>
    <s v="Darum Kirke"/>
    <s v="Kirke"/>
  </r>
  <r>
    <x v="8"/>
    <x v="87"/>
    <s v="8900"/>
    <s v="Bramming Sogn"/>
    <s v="Sankt Knuds Kirke"/>
    <s v="Kirke"/>
  </r>
  <r>
    <x v="8"/>
    <x v="87"/>
    <s v="8900"/>
    <s v="Bramming Sogn"/>
    <s v="Sankt Ansgar Kirke"/>
    <s v="Kirke"/>
  </r>
  <r>
    <x v="8"/>
    <x v="87"/>
    <s v="8900"/>
    <s v="Bramming Sogn"/>
    <s v="Sct. Ansgar Kapel, Bramming"/>
    <s v="Kirke"/>
  </r>
  <r>
    <x v="8"/>
    <x v="87"/>
    <s v="8901"/>
    <s v="Vilslev Sogn"/>
    <s v="Vilslev Kirke"/>
    <s v="Kirke"/>
  </r>
  <r>
    <x v="8"/>
    <x v="87"/>
    <s v="8902"/>
    <s v="Hunderup Sogn"/>
    <s v="Hunderup Kirke"/>
    <s v="Kirke"/>
  </r>
  <r>
    <x v="8"/>
    <x v="87"/>
    <s v="8903"/>
    <s v="Jernved Sogn"/>
    <s v="Jernved Kirke"/>
    <s v="Kirke"/>
  </r>
  <r>
    <x v="8"/>
    <x v="87"/>
    <s v="8903"/>
    <s v="Jernved Sogn"/>
    <s v="Gredstedbro Kirke"/>
    <s v="Filialkirke"/>
  </r>
  <r>
    <x v="8"/>
    <x v="87"/>
    <s v="8913"/>
    <s v="Vester Nykirke Sogn"/>
    <s v="Vester Nykirke"/>
    <s v="Kirke"/>
  </r>
  <r>
    <x v="8"/>
    <x v="87"/>
    <s v="9030"/>
    <s v="Hviding Sogn"/>
    <s v="Hviding Kirke"/>
    <s v="Kirke"/>
  </r>
  <r>
    <x v="8"/>
    <x v="87"/>
    <s v="9034"/>
    <s v="Roager Sogn"/>
    <s v="Roager Kirke"/>
    <s v="Kirke"/>
  </r>
  <r>
    <x v="8"/>
    <x v="87"/>
    <s v="9035"/>
    <s v="Spandet Sogn"/>
    <s v="Spandet Kirke"/>
    <s v="Kirke"/>
  </r>
  <r>
    <x v="8"/>
    <x v="88"/>
    <s v="8897"/>
    <s v="Åstrup Sogn"/>
    <s v="Åstrup Kirke"/>
    <s v="Kirke"/>
  </r>
  <r>
    <x v="8"/>
    <x v="88"/>
    <s v="8925"/>
    <s v="Lindknud Sogn"/>
    <s v="Lindknud Kirke"/>
    <s v="Kirke"/>
  </r>
  <r>
    <x v="8"/>
    <x v="88"/>
    <s v="8926"/>
    <s v="Brørup Sogn"/>
    <s v="Johanneskirkens Kapel"/>
    <s v="Kirke"/>
  </r>
  <r>
    <x v="8"/>
    <x v="88"/>
    <s v="8926"/>
    <s v="Brørup Sogn"/>
    <s v="Brørup Gl. Kirke"/>
    <s v="Kirke"/>
  </r>
  <r>
    <x v="8"/>
    <x v="88"/>
    <s v="8926"/>
    <s v="Brørup Sogn"/>
    <s v="Johanneskirken"/>
    <s v="Kirke"/>
  </r>
  <r>
    <x v="8"/>
    <x v="88"/>
    <s v="8928"/>
    <s v="Føvling Sogn"/>
    <s v="Føvling Kirke"/>
    <s v="Kirke"/>
  </r>
  <r>
    <x v="8"/>
    <x v="88"/>
    <s v="8929"/>
    <s v="Malt Sogn"/>
    <s v="Malt Kirke"/>
    <s v="Kirke"/>
  </r>
  <r>
    <x v="8"/>
    <x v="88"/>
    <s v="8930"/>
    <s v="Folding Sogn"/>
    <s v="Folding Kirke"/>
    <s v="Kirke"/>
  </r>
  <r>
    <x v="8"/>
    <x v="88"/>
    <s v="8931"/>
    <s v="Vejen Sogn"/>
    <s v="Vejen Kirke"/>
    <s v="Kirke"/>
  </r>
  <r>
    <x v="8"/>
    <x v="88"/>
    <s v="8931"/>
    <s v="Vejen Sogn"/>
    <s v="Vejen Kapel"/>
    <s v="Kirke"/>
  </r>
  <r>
    <x v="8"/>
    <x v="88"/>
    <s v="8932"/>
    <s v="Læborg Sogn"/>
    <s v="Læborg Kirke"/>
    <s v="Kirke"/>
  </r>
  <r>
    <x v="8"/>
    <x v="88"/>
    <s v="8933"/>
    <s v="Veerst Sogn"/>
    <s v="Veerst Kirke"/>
    <s v="Kirke"/>
  </r>
  <r>
    <x v="8"/>
    <x v="88"/>
    <s v="8934"/>
    <s v="Bække Sogn"/>
    <s v="Bække Kirke"/>
    <s v="Kirke"/>
  </r>
  <r>
    <x v="8"/>
    <x v="88"/>
    <s v="8937"/>
    <s v="Andst Sogn"/>
    <s v="Andst Kirke"/>
    <s v="Kirke"/>
  </r>
  <r>
    <x v="8"/>
    <x v="88"/>
    <s v="8938"/>
    <s v="Gesten Sogn"/>
    <s v="Gesten Kirke"/>
    <s v="Kirke"/>
  </r>
  <r>
    <x v="8"/>
    <x v="88"/>
    <s v="8947"/>
    <s v="Lintrup Sogn"/>
    <s v="Lintrup Kirke"/>
    <s v="Kirke"/>
  </r>
  <r>
    <x v="8"/>
    <x v="88"/>
    <s v="8948"/>
    <s v="Hjerting Sogn"/>
    <s v="Hjerting Kirke"/>
    <s v="Kirke"/>
  </r>
  <r>
    <x v="8"/>
    <x v="88"/>
    <s v="8949"/>
    <s v="Rødding Sogn"/>
    <s v="Rødding Kirke"/>
    <s v="Kirke"/>
  </r>
  <r>
    <x v="8"/>
    <x v="88"/>
    <s v="8949"/>
    <s v="Rødding Sogn"/>
    <s v="Rødding Kirkes Kapel"/>
    <s v="Kirke"/>
  </r>
  <r>
    <x v="8"/>
    <x v="88"/>
    <s v="8950"/>
    <s v="Skrave Sogn"/>
    <s v="Skrave Kirke"/>
    <s v="Kirke"/>
  </r>
  <r>
    <x v="8"/>
    <x v="88"/>
    <s v="8951"/>
    <s v="Sønder Hygum Sogn"/>
    <s v="Hygum Kirke"/>
    <s v="Kirke"/>
  </r>
  <r>
    <x v="8"/>
    <x v="88"/>
    <s v="8953"/>
    <s v="Øster Lindet Sogn"/>
    <s v="Øster Lindet Kirke"/>
    <s v="Kirke"/>
  </r>
  <r>
    <x v="8"/>
    <x v="88"/>
    <s v="8977"/>
    <s v="Jels Sogn"/>
    <s v="Jels Sognehus"/>
    <s v="Kirke"/>
  </r>
  <r>
    <x v="8"/>
    <x v="88"/>
    <s v="8977"/>
    <s v="Jels Sogn"/>
    <s v="Jels Kirke"/>
    <s v="Kirke"/>
  </r>
  <r>
    <x v="8"/>
    <x v="88"/>
    <s v="8987"/>
    <s v="Skodborg Sogn"/>
    <s v="Skodborg Kirke"/>
    <s v="Kirke"/>
  </r>
  <r>
    <x v="8"/>
    <x v="88"/>
    <s v="9137"/>
    <s v="Askov Sogn"/>
    <s v="Askov Kirke"/>
    <s v="Kirke"/>
  </r>
  <r>
    <x v="8"/>
    <x v="88"/>
    <s v="9264"/>
    <s v="Stenderup Sogn"/>
    <s v="Stenderup Kirke"/>
    <s v="Kirke"/>
  </r>
  <r>
    <x v="8"/>
    <x v="88"/>
    <s v="9269"/>
    <s v="Hovborg Sogn"/>
    <s v="Hovborg Kirke"/>
    <s v="Kirke"/>
  </r>
  <r>
    <x v="8"/>
    <x v="88"/>
    <s v="9363"/>
    <s v="Holsted-Sankt Peders Sogn"/>
    <s v="Sankt Peders Kirke"/>
    <s v="Kirke"/>
  </r>
  <r>
    <x v="8"/>
    <x v="88"/>
    <s v="9363"/>
    <s v="Holsted-Sankt Peders Sogn"/>
    <s v="Holsted Kirke"/>
    <s v="Kirke"/>
  </r>
  <r>
    <x v="8"/>
    <x v="89"/>
    <s v="8738"/>
    <s v="Skovlund Sogn"/>
    <s v="Skovlund Kirke"/>
    <s v="Kirke"/>
  </r>
  <r>
    <x v="8"/>
    <x v="89"/>
    <s v="8787"/>
    <s v="Strellev Sogn"/>
    <s v="Strellev Kirke"/>
    <s v="Kirke"/>
  </r>
  <r>
    <x v="8"/>
    <x v="89"/>
    <s v="8867"/>
    <s v="Thorstrup Sogn"/>
    <s v="Thorstrup Kirke"/>
    <s v="Kirke"/>
  </r>
  <r>
    <x v="8"/>
    <x v="89"/>
    <s v="8868"/>
    <s v="Horne Sogn"/>
    <s v="Horne Kirke"/>
    <s v="Kirke"/>
  </r>
  <r>
    <x v="8"/>
    <x v="89"/>
    <s v="8869"/>
    <s v="Hodde Sogn"/>
    <s v="Hodde Kirke"/>
    <s v="Kirke"/>
  </r>
  <r>
    <x v="8"/>
    <x v="89"/>
    <s v="8870"/>
    <s v="Tistrup Sogn"/>
    <s v="Tistrup Kirke"/>
    <s v="Kirke"/>
  </r>
  <r>
    <x v="8"/>
    <x v="89"/>
    <s v="8871"/>
    <s v="Ølgod Sogn"/>
    <s v="Bejsnap Kirke"/>
    <s v="Filialkirke"/>
  </r>
  <r>
    <x v="8"/>
    <x v="89"/>
    <s v="8871"/>
    <s v="Ølgod Sogn"/>
    <s v="Ølgod Kirke"/>
    <s v="Kirke"/>
  </r>
  <r>
    <x v="8"/>
    <x v="89"/>
    <s v="8872"/>
    <s v="Ansager Sogn"/>
    <s v="Ansager Kirke"/>
    <s v="Kirke"/>
  </r>
  <r>
    <x v="8"/>
    <x v="89"/>
    <s v="8873"/>
    <s v="Varde Sogn"/>
    <s v="Østerlund Kirkesal"/>
    <s v="Kirke"/>
  </r>
  <r>
    <x v="8"/>
    <x v="89"/>
    <s v="8873"/>
    <s v="Varde Sogn"/>
    <s v="Sankt Jacobi Kirke"/>
    <s v="Kirke"/>
  </r>
  <r>
    <x v="8"/>
    <x v="89"/>
    <s v="8873"/>
    <s v="Varde Sogn"/>
    <s v="Arnbjerg Kapel"/>
    <s v="Kirke"/>
  </r>
  <r>
    <x v="8"/>
    <x v="89"/>
    <s v="8874"/>
    <s v="Janderup Sogn"/>
    <s v="Janderup Kirke"/>
    <s v="Kirke"/>
  </r>
  <r>
    <x v="8"/>
    <x v="89"/>
    <s v="8875"/>
    <s v="Billum Sogn"/>
    <s v="Billum Kirke"/>
    <s v="Kirke"/>
  </r>
  <r>
    <x v="8"/>
    <x v="89"/>
    <s v="8876"/>
    <s v="Lunde Sogn"/>
    <s v="Lunde Kirke"/>
    <s v="Kirke"/>
  </r>
  <r>
    <x v="8"/>
    <x v="89"/>
    <s v="8877"/>
    <s v="Ovtrup Sogn"/>
    <s v="Outrup Kirke"/>
    <s v="Kirke"/>
  </r>
  <r>
    <x v="8"/>
    <x v="89"/>
    <s v="8878"/>
    <s v="Kvong Sogn"/>
    <s v="Kvong Kirke"/>
    <s v="Kirke"/>
  </r>
  <r>
    <x v="8"/>
    <x v="89"/>
    <s v="8879"/>
    <s v="Nørre Nebel Sogn"/>
    <s v="Nørre Nebel Kirke"/>
    <s v="Kirke"/>
  </r>
  <r>
    <x v="8"/>
    <x v="89"/>
    <s v="8880"/>
    <s v="Lydum Sogn"/>
    <s v="Lydum Kirke"/>
    <s v="Kirke"/>
  </r>
  <r>
    <x v="8"/>
    <x v="89"/>
    <s v="8881"/>
    <s v="Henne Sogn"/>
    <s v="Henne Kirke"/>
    <s v="Kirke"/>
  </r>
  <r>
    <x v="8"/>
    <x v="89"/>
    <s v="8882"/>
    <s v="Lønne Sogn"/>
    <s v="Lønne Kirke"/>
    <s v="Kirke"/>
  </r>
  <r>
    <x v="8"/>
    <x v="89"/>
    <s v="8898"/>
    <s v="Vester Starup Sogn"/>
    <s v="Vester Starup Kirke"/>
    <s v="Kirke"/>
  </r>
  <r>
    <x v="8"/>
    <x v="89"/>
    <s v="8910"/>
    <s v="Øse Sogn"/>
    <s v="Øse Kirke"/>
    <s v="Kirke"/>
  </r>
  <r>
    <x v="8"/>
    <x v="89"/>
    <s v="8911"/>
    <s v="Næsbjerg Sogn"/>
    <s v="Næsbjerg Kirke"/>
    <s v="Kirke"/>
  </r>
  <r>
    <x v="8"/>
    <x v="89"/>
    <s v="8914"/>
    <s v="Fåborg Sogn"/>
    <s v="Fåborg Kirke"/>
    <s v="Kirke"/>
  </r>
  <r>
    <x v="8"/>
    <x v="89"/>
    <s v="8915"/>
    <s v="Årre Sogn"/>
    <s v="Årre Kirke"/>
    <s v="Kirke"/>
  </r>
  <r>
    <x v="8"/>
    <x v="89"/>
    <s v="8920"/>
    <s v="Alslev Sogn"/>
    <s v="Alslev Kirke"/>
    <s v="Kirke"/>
  </r>
  <r>
    <x v="8"/>
    <x v="89"/>
    <s v="9153"/>
    <s v="Agerbæk Sogn"/>
    <s v="Agerbæk Kirke"/>
    <s v="Kirke"/>
  </r>
  <r>
    <x v="8"/>
    <x v="89"/>
    <s v="9196"/>
    <s v="Blåvandshuk Sogn"/>
    <s v="Mosevrå Kirke"/>
    <s v="Kirke"/>
  </r>
  <r>
    <x v="8"/>
    <x v="89"/>
    <s v="9196"/>
    <s v="Blåvandshuk Sogn"/>
    <s v="Oksby Kirke"/>
    <s v="Kirke"/>
  </r>
  <r>
    <x v="8"/>
    <x v="89"/>
    <s v="9196"/>
    <s v="Blåvandshuk Sogn"/>
    <s v="Ho Kirke"/>
    <s v="Kirke"/>
  </r>
  <r>
    <x v="8"/>
    <x v="89"/>
    <s v="9273"/>
    <s v="Rousthøje Sogn"/>
    <s v="Rousthøje Kirke"/>
    <s v="Kirke"/>
  </r>
  <r>
    <x v="8"/>
    <x v="89"/>
    <s v="9291"/>
    <s v="Aal Sogn"/>
    <s v="Aal Kirke"/>
    <s v="Kirke"/>
  </r>
  <r>
    <x v="8"/>
    <x v="89"/>
    <s v="9291"/>
    <s v="Aal Sogn"/>
    <s v="Børsmose Kirke"/>
    <s v="Kirke"/>
  </r>
  <r>
    <x v="8"/>
    <x v="90"/>
    <s v="8905"/>
    <s v="Vor Frelsers Sogn"/>
    <s v="Kapel, Sydvestjysk Sygehus i Esbjerg"/>
    <s v="Kirke"/>
  </r>
  <r>
    <x v="8"/>
    <x v="90"/>
    <s v="8905"/>
    <s v="Vor Frelsers Sogn"/>
    <s v="Vor Frelsers Kirke"/>
    <s v="Kirke"/>
  </r>
  <r>
    <x v="8"/>
    <x v="90"/>
    <s v="8906"/>
    <s v="Zions Sogn"/>
    <s v="Zions Kirke"/>
    <s v="Kirke"/>
  </r>
  <r>
    <x v="8"/>
    <x v="90"/>
    <s v="8907"/>
    <s v="Treenigheds Sogn"/>
    <s v="Gravlundens Kapel, Fovrfeld Gravlund, Esbjerg"/>
    <s v="Kirke"/>
  </r>
  <r>
    <x v="8"/>
    <x v="90"/>
    <s v="8907"/>
    <s v="Treenigheds Sogn"/>
    <s v="Treenighedskirken"/>
    <s v="Kirke"/>
  </r>
  <r>
    <x v="8"/>
    <x v="90"/>
    <s v="8907"/>
    <s v="Treenigheds Sogn"/>
    <s v="Gormsgade Kapel, Esbjerg"/>
    <s v="Kirke"/>
  </r>
  <r>
    <x v="8"/>
    <x v="90"/>
    <s v="8908"/>
    <s v="Jerne Sogn"/>
    <s v="Jerne Kirke"/>
    <s v="Kirke"/>
  </r>
  <r>
    <x v="8"/>
    <x v="90"/>
    <s v="8908"/>
    <s v="Jerne Sogn"/>
    <s v="Novrup Kapel, Esbjerg"/>
    <s v="Kirke"/>
  </r>
  <r>
    <x v="8"/>
    <x v="90"/>
    <s v="8909"/>
    <s v="Skads Sogn"/>
    <s v="Skads Kirke"/>
    <s v="Kirke"/>
  </r>
  <r>
    <x v="8"/>
    <x v="90"/>
    <s v="8912"/>
    <s v="Grimstrup Sogn"/>
    <s v="Grimstrup Kirke"/>
    <s v="Kirke"/>
  </r>
  <r>
    <x v="8"/>
    <x v="90"/>
    <s v="8916"/>
    <s v="Sneum Sogn"/>
    <s v="Sneum Kirke"/>
    <s v="Kirke"/>
  </r>
  <r>
    <x v="8"/>
    <x v="90"/>
    <s v="8917"/>
    <s v="Tjæreborg Sogn"/>
    <s v="Tjæreborg Kirke"/>
    <s v="Kirke"/>
  </r>
  <r>
    <x v="8"/>
    <x v="90"/>
    <s v="8918"/>
    <s v="Bryndum Sogn"/>
    <s v="Bryndum Kirke"/>
    <s v="Kirke"/>
  </r>
  <r>
    <x v="8"/>
    <x v="90"/>
    <s v="8919"/>
    <s v="Vester Nebel Sogn"/>
    <s v="Vester Nebel Kirke"/>
    <s v="Kirke"/>
  </r>
  <r>
    <x v="8"/>
    <x v="90"/>
    <s v="8921"/>
    <s v="Hostrup Sogn"/>
    <s v="Hostrup Kirke"/>
    <s v="Kirke"/>
  </r>
  <r>
    <x v="8"/>
    <x v="90"/>
    <s v="8922"/>
    <s v="Guldager Sogn"/>
    <s v="Guldager Kirke"/>
    <s v="Kirke"/>
  </r>
  <r>
    <x v="8"/>
    <x v="90"/>
    <s v="9073"/>
    <s v="Grundtvigs Sogn"/>
    <s v="Grundtvigskirken"/>
    <s v="Kirke"/>
  </r>
  <r>
    <x v="8"/>
    <x v="90"/>
    <s v="9099"/>
    <s v="Kvaglund Sogn"/>
    <s v="Kvaglund Kirke"/>
    <s v="Kirke"/>
  </r>
  <r>
    <x v="8"/>
    <x v="90"/>
    <s v="9106"/>
    <s v="Sædden Sogn"/>
    <s v="Sædden Kirke"/>
    <s v="Kirke"/>
  </r>
  <r>
    <x v="8"/>
    <x v="90"/>
    <s v="9121"/>
    <s v="Gjesing Sogn"/>
    <s v="Gjesing Kirke"/>
    <s v="Kirke"/>
  </r>
  <r>
    <x v="8"/>
    <x v="90"/>
    <s v="9138"/>
    <s v="Hjerting Sogn"/>
    <s v="Hjerting Kirke"/>
    <s v="Kirke"/>
  </r>
  <r>
    <x v="8"/>
    <x v="90"/>
    <s v="9313"/>
    <s v="Fanø Sogn"/>
    <s v="Sønderho Kirke"/>
    <s v="Kirke"/>
  </r>
  <r>
    <x v="8"/>
    <x v="90"/>
    <s v="9313"/>
    <s v="Fanø Sogn"/>
    <s v="Nordby Kirke"/>
    <s v="Kirke"/>
  </r>
  <r>
    <x v="8"/>
    <x v="91"/>
    <s v="8754"/>
    <s v="Nørre Omme Sogn"/>
    <s v="Nørre Omme Kirke"/>
    <s v="Kirke"/>
  </r>
  <r>
    <x v="8"/>
    <x v="91"/>
    <s v="8755"/>
    <s v="Brejning Sogn"/>
    <s v="Brejning Kirke"/>
    <s v="Kirke"/>
  </r>
  <r>
    <x v="8"/>
    <x v="91"/>
    <s v="8765"/>
    <s v="Skjern Sogn"/>
    <s v="Skjern Kirke"/>
    <s v="Kirke"/>
  </r>
  <r>
    <x v="8"/>
    <x v="91"/>
    <s v="8766"/>
    <s v="Vorgod Sogn"/>
    <s v="Vorgod Kirke"/>
    <s v="Kirke"/>
  </r>
  <r>
    <x v="8"/>
    <x v="91"/>
    <s v="8767"/>
    <s v="Nørre Vium Sogn"/>
    <s v="Nørre Vium Kirke"/>
    <s v="Kirke"/>
  </r>
  <r>
    <x v="8"/>
    <x v="91"/>
    <s v="8768"/>
    <s v="Herborg Sogn"/>
    <s v="Herborg Kirke"/>
    <s v="Kirke"/>
  </r>
  <r>
    <x v="8"/>
    <x v="91"/>
    <s v="8769"/>
    <s v="Videbæk Sogn"/>
    <s v="Videbæk Kapel"/>
    <s v="Kirke"/>
  </r>
  <r>
    <x v="8"/>
    <x v="91"/>
    <s v="8769"/>
    <s v="Videbæk Sogn"/>
    <s v="Videbæk Kirke"/>
    <s v="Kirke"/>
  </r>
  <r>
    <x v="8"/>
    <x v="91"/>
    <s v="8772"/>
    <s v="Dejbjerg Sogn"/>
    <s v="Dejbjerg Kirke"/>
    <s v="Kirke"/>
  </r>
  <r>
    <x v="8"/>
    <x v="91"/>
    <s v="8773"/>
    <s v="Hanning Sogn"/>
    <s v="Hanning Kirke"/>
    <s v="Kirke"/>
  </r>
  <r>
    <x v="8"/>
    <x v="91"/>
    <s v="8774"/>
    <s v="Stauning Sogn"/>
    <s v="Stauning Kirke"/>
    <s v="Kirke"/>
  </r>
  <r>
    <x v="8"/>
    <x v="91"/>
    <s v="8775"/>
    <s v="Bølling Sogn"/>
    <s v="Bølling Kirke"/>
    <s v="Kirke"/>
  </r>
  <r>
    <x v="8"/>
    <x v="91"/>
    <s v="8776"/>
    <s v="Sædding Sogn"/>
    <s v="Sædding Kirke"/>
    <s v="Kirke"/>
  </r>
  <r>
    <x v="8"/>
    <x v="91"/>
    <s v="8777"/>
    <s v="Sønder Borris Sogn"/>
    <s v="Borris Kirke"/>
    <s v="Kirke"/>
  </r>
  <r>
    <x v="8"/>
    <x v="91"/>
    <s v="8778"/>
    <s v="Faster Sogn"/>
    <s v="Faster Kirke"/>
    <s v="Kirke"/>
  </r>
  <r>
    <x v="8"/>
    <x v="91"/>
    <s v="8779"/>
    <s v="Sønder Bork Sogn"/>
    <s v="Sønder Bork Kirke"/>
    <s v="Kirke"/>
  </r>
  <r>
    <x v="8"/>
    <x v="91"/>
    <s v="8779"/>
    <s v="Sønder Bork Sogn"/>
    <s v="Sankt Erasmus Kirke"/>
    <s v="Kirke"/>
  </r>
  <r>
    <x v="8"/>
    <x v="91"/>
    <s v="8780"/>
    <s v="Nørre Bork Sogn"/>
    <s v="Nørre Bork Kirke"/>
    <s v="Kirke"/>
  </r>
  <r>
    <x v="8"/>
    <x v="91"/>
    <s v="8781"/>
    <s v="Hemmet Sogn"/>
    <s v="Hemmet Kirke"/>
    <s v="Kirke"/>
  </r>
  <r>
    <x v="8"/>
    <x v="91"/>
    <s v="8782"/>
    <s v="Sønder Vium Sogn"/>
    <s v="Sønder Vium Kirke"/>
    <s v="Kirke"/>
  </r>
  <r>
    <x v="8"/>
    <x v="91"/>
    <s v="8783"/>
    <s v="Lønborg Sogn"/>
    <s v="Lønborg Kirke"/>
    <s v="Kirke"/>
  </r>
  <r>
    <x v="8"/>
    <x v="91"/>
    <s v="8784"/>
    <s v="Egvad Sogn"/>
    <s v="Egvad Kirke"/>
    <s v="Kirke"/>
  </r>
  <r>
    <x v="8"/>
    <x v="91"/>
    <s v="8785"/>
    <s v="Ådum Sogn"/>
    <s v="Ådum Kirke"/>
    <s v="Kirke"/>
  </r>
  <r>
    <x v="8"/>
    <x v="91"/>
    <s v="8786"/>
    <s v="Hoven Sogn"/>
    <s v="Hoven Kirke"/>
    <s v="Kirke"/>
  </r>
  <r>
    <x v="8"/>
    <x v="91"/>
    <s v="8788"/>
    <s v="Lyne Sogn"/>
    <s v="Lyne Kirke"/>
    <s v="Kirke"/>
  </r>
  <r>
    <x v="8"/>
    <x v="91"/>
    <s v="9122"/>
    <s v="Tarm Sogn"/>
    <s v="Tarm Kirkehus"/>
    <s v="Kirke"/>
  </r>
  <r>
    <x v="8"/>
    <x v="91"/>
    <s v="9122"/>
    <s v="Tarm Sogn"/>
    <s v="Tarm Kirkegårdskapel"/>
    <s v="Kirke"/>
  </r>
  <r>
    <x v="8"/>
    <x v="91"/>
    <s v="9122"/>
    <s v="Tarm Sogn"/>
    <s v="Tarm Kirke"/>
    <s v="Kirke"/>
  </r>
  <r>
    <x v="8"/>
    <x v="91"/>
    <s v="9124"/>
    <s v="Troldhede Sogn"/>
    <s v="Troldhede Kirke"/>
    <s v="Kirke"/>
  </r>
  <r>
    <x v="8"/>
    <x v="91"/>
    <s v="9275"/>
    <s v="Væggerskilde Sogn"/>
    <s v="Væggerskilde Kirke"/>
    <s v="Kirke"/>
  </r>
  <r>
    <x v="8"/>
    <x v="91"/>
    <s v="9276"/>
    <s v="Finderup Sogn"/>
    <s v="Finderup Kirke"/>
    <s v="Kirke"/>
  </r>
  <r>
    <x v="8"/>
    <x v="91"/>
    <s v="9277"/>
    <s v="Fjelstervang Sogn"/>
    <s v="Fjelstervang Kirke"/>
    <s v="Kirke"/>
  </r>
  <r>
    <x v="8"/>
    <x v="92"/>
    <s v="8739"/>
    <s v="Husby Sogn"/>
    <s v="Husby Kirke"/>
    <s v="Kirke"/>
  </r>
  <r>
    <x v="8"/>
    <x v="92"/>
    <s v="8740"/>
    <s v="Sønder Nissum Sogn"/>
    <s v="Sønder Nissum Kirke"/>
    <s v="Kirke"/>
  </r>
  <r>
    <x v="8"/>
    <x v="92"/>
    <s v="8740"/>
    <s v="Sønder Nissum Sogn"/>
    <s v="Thorsminde Kirke"/>
    <s v="Filialkirke"/>
  </r>
  <r>
    <x v="8"/>
    <x v="92"/>
    <s v="8741"/>
    <s v="Staby Sogn"/>
    <s v="Staby Kirke"/>
    <s v="Kirke"/>
  </r>
  <r>
    <x v="8"/>
    <x v="92"/>
    <s v="8742"/>
    <s v="Ulfborg Sogn"/>
    <s v="Ulfborg Kirke"/>
    <s v="Kirke"/>
  </r>
  <r>
    <x v="8"/>
    <x v="92"/>
    <s v="8742"/>
    <s v="Ulfborg Sogn"/>
    <s v="Ulfkær Kirke"/>
    <s v="Filialkirke"/>
  </r>
  <r>
    <x v="8"/>
    <x v="92"/>
    <s v="8749"/>
    <s v="Ringkøbing Sogn"/>
    <s v="Ringkøbing Kirke"/>
    <s v="Kirke"/>
  </r>
  <r>
    <x v="8"/>
    <x v="92"/>
    <s v="8749"/>
    <s v="Ringkøbing Sogn"/>
    <s v="Ringkøbing Kapel"/>
    <s v="Kirke"/>
  </r>
  <r>
    <x v="8"/>
    <x v="92"/>
    <s v="8750"/>
    <s v="Rindum Sogn"/>
    <s v="Rindum Kirke"/>
    <s v="Kirke"/>
  </r>
  <r>
    <x v="8"/>
    <x v="92"/>
    <s v="8751"/>
    <s v="Velling Sogn"/>
    <s v="Velling Kirke"/>
    <s v="Kirke"/>
  </r>
  <r>
    <x v="8"/>
    <x v="92"/>
    <s v="8752"/>
    <s v="Hee Sogn"/>
    <s v="Hee Kirke"/>
    <s v="Kirke"/>
  </r>
  <r>
    <x v="8"/>
    <x v="92"/>
    <s v="8753"/>
    <s v="No Sogn"/>
    <s v="No Kirke"/>
    <s v="Kirke"/>
  </r>
  <r>
    <x v="8"/>
    <x v="92"/>
    <s v="8756"/>
    <s v="Torsted Sogn"/>
    <s v="Torsted Kirke"/>
    <s v="Kirke"/>
  </r>
  <r>
    <x v="8"/>
    <x v="92"/>
    <s v="8757"/>
    <s v="Hover Sogn"/>
    <s v="Hover Kirke"/>
    <s v="Kirke"/>
  </r>
  <r>
    <x v="8"/>
    <x v="92"/>
    <s v="8758"/>
    <s v="Stadil Sogn"/>
    <s v="Stadil Kirke"/>
    <s v="Kirke"/>
  </r>
  <r>
    <x v="8"/>
    <x v="92"/>
    <s v="8759"/>
    <s v="Tim Sogn"/>
    <s v="Tim Kirke"/>
    <s v="Kirke"/>
  </r>
  <r>
    <x v="8"/>
    <x v="92"/>
    <s v="8760"/>
    <s v="Madum Sogn"/>
    <s v="Madum Kirke"/>
    <s v="Kirke"/>
  </r>
  <r>
    <x v="8"/>
    <x v="92"/>
    <s v="8761"/>
    <s v="Vedersø Sogn"/>
    <s v="Vedersø Kirke"/>
    <s v="Kirke"/>
  </r>
  <r>
    <x v="8"/>
    <x v="92"/>
    <s v="8763"/>
    <s v="Ny Sogn"/>
    <s v="Ny Sogn Kirke"/>
    <s v="Kirke"/>
  </r>
  <r>
    <x v="8"/>
    <x v="92"/>
    <s v="8764"/>
    <s v="Gammel Sogn"/>
    <s v="Gammel Sogn Kirke"/>
    <s v="Kirke"/>
  </r>
  <r>
    <x v="8"/>
    <x v="92"/>
    <s v="8770"/>
    <s v="Sønder Lem Sogn"/>
    <s v="Sønder Lem Kirke"/>
    <s v="Kirke"/>
  </r>
  <r>
    <x v="8"/>
    <x v="92"/>
    <s v="8771"/>
    <s v="Ølstrup Sogn"/>
    <s v="Ølstrup Kirke"/>
    <s v="Kirke"/>
  </r>
  <r>
    <x v="8"/>
    <x v="92"/>
    <s v="8827"/>
    <s v="Gørding Sogn"/>
    <s v="Nørre Gørding Kirke"/>
    <s v="Kirke"/>
  </r>
  <r>
    <x v="8"/>
    <x v="92"/>
    <s v="8828"/>
    <s v="Vemb Sogn"/>
    <s v="Vemb Kirke"/>
    <s v="Kirke"/>
  </r>
  <r>
    <x v="8"/>
    <x v="92"/>
    <s v="8829"/>
    <s v="Bur Sogn"/>
    <s v="Bur Kirke"/>
    <s v="Kirke"/>
  </r>
  <r>
    <x v="8"/>
    <x v="92"/>
    <s v="9172"/>
    <s v="Hvide Sande Sogn"/>
    <s v="Hvide Sande Kirke"/>
    <s v="Kirke"/>
  </r>
  <r>
    <x v="8"/>
    <x v="92"/>
    <s v="9278"/>
    <s v="Haurvig Sogn"/>
    <s v="Haurvig Kirke"/>
    <s v="Kirke"/>
  </r>
  <r>
    <x v="8"/>
    <x v="92"/>
    <s v="9279"/>
    <s v="Lyngvig Sogn"/>
    <s v="Lyngvig Kirke"/>
    <s v="Kirke"/>
  </r>
  <r>
    <x v="8"/>
    <x v="92"/>
    <s v="9280"/>
    <s v="Lem Sogn"/>
    <s v="Lem Kirke"/>
    <s v="Kirke"/>
  </r>
  <r>
    <x v="8"/>
    <x v="93"/>
    <s v="7975"/>
    <s v="Givskud Sogn"/>
    <s v="Givskud Kirke"/>
    <s v="Kirke"/>
  </r>
  <r>
    <x v="8"/>
    <x v="93"/>
    <s v="7976"/>
    <s v="Øster Nykirke Sogn"/>
    <s v="Øster Nykirke"/>
    <s v="Kirke"/>
  </r>
  <r>
    <x v="8"/>
    <x v="93"/>
    <s v="7977"/>
    <s v="Thyregod Sogn"/>
    <s v="Thyregod Kirke"/>
    <s v="Kirke"/>
  </r>
  <r>
    <x v="8"/>
    <x v="93"/>
    <s v="7978"/>
    <s v="Vester Sogn"/>
    <s v="Vester Kirke"/>
    <s v="Kirke"/>
  </r>
  <r>
    <x v="8"/>
    <x v="93"/>
    <s v="7979"/>
    <s v="Sønder Omme Sogn"/>
    <s v="Østerby Kirke"/>
    <s v="Fængselskirke"/>
  </r>
  <r>
    <x v="8"/>
    <x v="93"/>
    <s v="7979"/>
    <s v="Sønder Omme Sogn"/>
    <s v="Sønder Omme Kirke"/>
    <s v="Kirke"/>
  </r>
  <r>
    <x v="8"/>
    <x v="93"/>
    <s v="7981"/>
    <s v="Filskov Sogn"/>
    <s v="Filskov Kirke"/>
    <s v="Kirke"/>
  </r>
  <r>
    <x v="8"/>
    <x v="93"/>
    <s v="7982"/>
    <s v="Ringive Sogn"/>
    <s v="Ringive Kirke"/>
    <s v="Kirke"/>
  </r>
  <r>
    <x v="8"/>
    <x v="93"/>
    <s v="7983"/>
    <s v="Give Sogn"/>
    <s v="Give Kirke"/>
    <s v="Kirke"/>
  </r>
  <r>
    <x v="8"/>
    <x v="93"/>
    <s v="7984"/>
    <s v="Gadbjerg Sogn"/>
    <s v="Gadbjerg Kirke"/>
    <s v="Kirke"/>
  </r>
  <r>
    <x v="8"/>
    <x v="93"/>
    <s v="7985"/>
    <s v="Lindeballe Sogn"/>
    <s v="Lindeballe Kirke"/>
    <s v="Kirke"/>
  </r>
  <r>
    <x v="8"/>
    <x v="93"/>
    <s v="7986"/>
    <s v="Nørup Sogn"/>
    <s v="Nørup Kirke"/>
    <s v="Kirke"/>
  </r>
  <r>
    <x v="8"/>
    <x v="93"/>
    <s v="7987"/>
    <s v="Randbøl Sogn"/>
    <s v="Randbøl Kirke"/>
    <s v="Kirke"/>
  </r>
  <r>
    <x v="8"/>
    <x v="93"/>
    <s v="8942"/>
    <s v="Grindsted Sogn"/>
    <s v="Grindsted Kirkes Kapel"/>
    <s v="Kirke"/>
  </r>
  <r>
    <x v="8"/>
    <x v="93"/>
    <s v="8942"/>
    <s v="Grindsted Sogn"/>
    <s v="Grindsted Kirke"/>
    <s v="Kirke"/>
  </r>
  <r>
    <x v="8"/>
    <x v="93"/>
    <s v="8943"/>
    <s v="Grene Sogn"/>
    <s v="Grene Kirke"/>
    <s v="Kirke"/>
  </r>
  <r>
    <x v="8"/>
    <x v="93"/>
    <s v="8943"/>
    <s v="Grene Sogn"/>
    <s v="Billund Kirke"/>
    <s v="Filialkirke"/>
  </r>
  <r>
    <x v="8"/>
    <x v="93"/>
    <s v="8943"/>
    <s v="Grene Sogn"/>
    <s v="Grene Kirkes Kapel"/>
    <s v="Kirke"/>
  </r>
  <r>
    <x v="8"/>
    <x v="93"/>
    <s v="8944"/>
    <s v="Vorbasse Sogn"/>
    <s v="Vorbasse Kirke"/>
    <s v="Kirke"/>
  </r>
  <r>
    <x v="8"/>
    <x v="93"/>
    <s v="8945"/>
    <s v="Hejnsvig Sogn"/>
    <s v="Hejnsvig Kirke"/>
    <s v="Kirke"/>
  </r>
  <r>
    <x v="8"/>
    <x v="93"/>
    <s v="9114"/>
    <s v="Stenderup Sogn"/>
    <s v="Stenderup Kirke"/>
    <s v="Kirke"/>
  </r>
  <r>
    <x v="8"/>
    <x v="93"/>
    <s v="9265"/>
    <s v="Urup Sogn"/>
    <s v="Urup Kirke"/>
    <s v="Kirke"/>
  </r>
  <r>
    <x v="8"/>
    <x v="93"/>
    <s v="9266"/>
    <s v="Nollund Sogn"/>
    <s v="Nollund Kirke"/>
    <s v="Kirke"/>
  </r>
  <r>
    <x v="8"/>
    <x v="93"/>
    <s v="9267"/>
    <s v="Vesterhede Sogn"/>
    <s v="Vesterhede Kirke"/>
    <s v="Kirke"/>
  </r>
  <r>
    <x v="8"/>
    <x v="93"/>
    <s v="9270"/>
    <s v="Skjoldbjerg Sogn"/>
    <s v="Skjoldbjerg Kirke"/>
    <s v="Kirke"/>
  </r>
  <r>
    <x v="8"/>
    <x v="93"/>
    <s v="9283"/>
    <s v="Farre Sogn"/>
    <s v="Farre Kirke"/>
    <s v="Kirke"/>
  </r>
  <r>
    <x v="8"/>
    <x v="93"/>
    <s v="9284"/>
    <s v="Vorslunde Sogn"/>
    <s v="Vorslunde Kirke"/>
    <s v="Kirke"/>
  </r>
  <r>
    <x v="8"/>
    <x v="93"/>
    <s v="9285"/>
    <s v="Langelund Sogn"/>
    <s v="Langelund Kirke"/>
    <s v="Kirke"/>
  </r>
  <r>
    <x v="8"/>
    <x v="93"/>
    <s v="9286"/>
    <s v="Vonge Sogn"/>
    <s v="Vonge Kirke"/>
    <s v="Kirke"/>
  </r>
  <r>
    <x v="8"/>
    <x v="94"/>
    <s v="8956"/>
    <s v="Agerskov Sogn"/>
    <s v="Agerskov Kirke"/>
    <s v="Kirke"/>
  </r>
  <r>
    <x v="8"/>
    <x v="94"/>
    <s v="8958"/>
    <s v="Tirslund Sogn"/>
    <s v="Tirslund Kirke"/>
    <s v="Kirke"/>
  </r>
  <r>
    <x v="8"/>
    <x v="94"/>
    <s v="8959"/>
    <s v="Branderup Sogn"/>
    <s v="Branderup Kirke"/>
    <s v="Kirke"/>
  </r>
  <r>
    <x v="8"/>
    <x v="94"/>
    <s v="8960"/>
    <s v="Toftlund Sogn"/>
    <s v="Toftlund Kirke"/>
    <s v="Kirke"/>
  </r>
  <r>
    <x v="8"/>
    <x v="94"/>
    <s v="9016"/>
    <s v="Bedsted Sogn"/>
    <s v="Bedsted Kirke"/>
    <s v="Kirke"/>
  </r>
  <r>
    <x v="8"/>
    <x v="94"/>
    <s v="9031"/>
    <s v="Rejsby Sogn"/>
    <s v="Rejsby Kirke"/>
    <s v="Kirke"/>
  </r>
  <r>
    <x v="8"/>
    <x v="94"/>
    <s v="9032"/>
    <s v="Brøns Sogn"/>
    <s v="Brøns Kirke"/>
    <s v="Kirke"/>
  </r>
  <r>
    <x v="8"/>
    <x v="94"/>
    <s v="9033"/>
    <s v="Vodder Sogn"/>
    <s v="Vodder Kirke"/>
    <s v="Kirke"/>
  </r>
  <r>
    <x v="8"/>
    <x v="94"/>
    <s v="9036"/>
    <s v="Arrild Sogn"/>
    <s v="Arrild Kirke"/>
    <s v="Kirke"/>
  </r>
  <r>
    <x v="8"/>
    <x v="94"/>
    <s v="9038"/>
    <s v="Skærbæk Sogn"/>
    <s v="Renbæk Kirke"/>
    <s v="Fængselskirke"/>
  </r>
  <r>
    <x v="8"/>
    <x v="94"/>
    <s v="9038"/>
    <s v="Skærbæk Sogn"/>
    <s v="Skærbæk Kirke"/>
    <s v="Kirke"/>
  </r>
  <r>
    <x v="8"/>
    <x v="94"/>
    <s v="9040"/>
    <s v="Ubjerg Sogn"/>
    <s v="Ubjerg Kirke"/>
    <s v="Kirke"/>
  </r>
  <r>
    <x v="8"/>
    <x v="94"/>
    <s v="9041"/>
    <s v="Abild Sogn"/>
    <s v="Abild Kirke"/>
    <s v="Kirke"/>
  </r>
  <r>
    <x v="8"/>
    <x v="94"/>
    <s v="9042"/>
    <s v="Visby Sogn"/>
    <s v="Visby Kirke"/>
    <s v="Kirke"/>
  </r>
  <r>
    <x v="8"/>
    <x v="94"/>
    <s v="9043"/>
    <s v="Daler Sogn"/>
    <s v="Daler Kirke"/>
    <s v="Kirke"/>
  </r>
  <r>
    <x v="8"/>
    <x v="94"/>
    <s v="9044"/>
    <s v="Møgeltønder Sogn"/>
    <s v="Møgeltønder Kirke"/>
    <s v="Kirke"/>
  </r>
  <r>
    <x v="8"/>
    <x v="94"/>
    <s v="9045"/>
    <s v="Løgumkloster Sogn"/>
    <s v="Løgumkloster Kirke"/>
    <s v="Kirke"/>
  </r>
  <r>
    <x v="8"/>
    <x v="94"/>
    <s v="9046"/>
    <s v="Nørre Løgum Sogn"/>
    <s v="Nørre Løgum Kirke"/>
    <s v="Kirke"/>
  </r>
  <r>
    <x v="8"/>
    <x v="94"/>
    <s v="9047"/>
    <s v="Brede Sogn"/>
    <s v="Brede Kirke"/>
    <s v="Kirke"/>
  </r>
  <r>
    <x v="8"/>
    <x v="94"/>
    <s v="9048"/>
    <s v="Døstrup Sogn"/>
    <s v="Døstrup Kirke"/>
    <s v="Kirke"/>
  </r>
  <r>
    <x v="8"/>
    <x v="94"/>
    <s v="9049"/>
    <s v="Mjolden Sogn"/>
    <s v="Mjolden Kirke"/>
    <s v="Kirke"/>
  </r>
  <r>
    <x v="8"/>
    <x v="94"/>
    <s v="9050"/>
    <s v="Randerup Sogn"/>
    <s v="Randerup Kirke"/>
    <s v="Kirke"/>
  </r>
  <r>
    <x v="8"/>
    <x v="94"/>
    <s v="9051"/>
    <s v="Højer Sogn"/>
    <s v="Højer Kirke"/>
    <s v="Kirke"/>
  </r>
  <r>
    <x v="8"/>
    <x v="94"/>
    <s v="9052"/>
    <s v="Emmerlev Sogn"/>
    <s v="Emmerlev Kirke"/>
    <s v="Kirke"/>
  </r>
  <r>
    <x v="8"/>
    <x v="94"/>
    <s v="9053"/>
    <s v="Hjerpsted Sogn"/>
    <s v="Hjerpsted Kirke"/>
    <s v="Kirke"/>
  </r>
  <r>
    <x v="8"/>
    <x v="94"/>
    <s v="9054"/>
    <s v="Ballum Sogn"/>
    <s v="Ballum Kirke"/>
    <s v="Kirke"/>
  </r>
  <r>
    <x v="8"/>
    <x v="94"/>
    <s v="9055"/>
    <s v="Sønder Skast Sogn"/>
    <s v="Sønder Skast Kirke"/>
    <s v="Kirke"/>
  </r>
  <r>
    <x v="8"/>
    <x v="94"/>
    <s v="9058"/>
    <s v="Højst Sogn"/>
    <s v="Højst Kirke"/>
    <s v="Kirke"/>
  </r>
  <r>
    <x v="8"/>
    <x v="94"/>
    <s v="9059"/>
    <s v="Hostrup Sogn"/>
    <s v="Hostrup Kirke"/>
    <s v="Kirke"/>
  </r>
  <r>
    <x v="8"/>
    <x v="94"/>
    <s v="9062"/>
    <s v="Rømø Sogn"/>
    <s v="Sankt Clemens Kirke"/>
    <s v="Kirke"/>
  </r>
  <r>
    <x v="8"/>
    <x v="94"/>
    <s v="9178"/>
    <s v="Tønder Sogn"/>
    <s v="Tønder Kirkegårdskapel"/>
    <s v="Kirke"/>
  </r>
  <r>
    <x v="8"/>
    <x v="94"/>
    <s v="9178"/>
    <s v="Tønder Sogn"/>
    <s v="Tønder Kristkirke"/>
    <s v="Kirke"/>
  </r>
  <r>
    <x v="9"/>
    <x v="95"/>
    <s v="8946"/>
    <s v="Gram Sogn"/>
    <s v="Gram Kirke"/>
    <s v="Kirke"/>
  </r>
  <r>
    <x v="9"/>
    <x v="95"/>
    <s v="8952"/>
    <s v="Fole Sogn"/>
    <s v="Fole Kirke"/>
    <s v="Kirke"/>
  </r>
  <r>
    <x v="9"/>
    <x v="95"/>
    <s v="8954"/>
    <s v="Nustrup Sogn"/>
    <s v="Nustrup Kirke"/>
    <s v="Kirke"/>
  </r>
  <r>
    <x v="9"/>
    <x v="95"/>
    <s v="8955"/>
    <s v="Skrydstrup Sogn"/>
    <s v="Skrydstrup Kirke"/>
    <s v="Kirke"/>
  </r>
  <r>
    <x v="9"/>
    <x v="95"/>
    <s v="8957"/>
    <s v="Bevtoft Sogn"/>
    <s v="Bevtoft Kirke"/>
    <s v="Kirke"/>
  </r>
  <r>
    <x v="9"/>
    <x v="95"/>
    <s v="8961"/>
    <s v="Haderslev Vor Frue Domsogn"/>
    <s v="Hertug Hans Hospitalskirke"/>
    <s v="Filialkirke"/>
  </r>
  <r>
    <x v="9"/>
    <x v="95"/>
    <s v="8961"/>
    <s v="Haderslev Vor Frue Domsogn"/>
    <s v="Vor Frue Kirke"/>
    <s v="Kirke"/>
  </r>
  <r>
    <x v="9"/>
    <x v="95"/>
    <s v="8961"/>
    <s v="Haderslev Vor Frue Domsogn"/>
    <s v="Assistens Kirkegårdskapel"/>
    <s v="Kirke"/>
  </r>
  <r>
    <x v="9"/>
    <x v="95"/>
    <s v="8962"/>
    <s v="Gammel Haderslev Sogn"/>
    <s v="Sankt Severin Kirke"/>
    <s v="Kirke"/>
  </r>
  <r>
    <x v="9"/>
    <x v="95"/>
    <s v="8963"/>
    <s v="Åstrup Sogn"/>
    <s v="Åstrup Kirke"/>
    <s v="Kirke"/>
  </r>
  <r>
    <x v="9"/>
    <x v="95"/>
    <s v="8964"/>
    <s v="Halk Sogn"/>
    <s v="Halk Kirke"/>
    <s v="Kirke"/>
  </r>
  <r>
    <x v="9"/>
    <x v="95"/>
    <s v="8965"/>
    <s v="Hoptrup Sogn"/>
    <s v="Hoptrup Kirke"/>
    <s v="Kirke"/>
  </r>
  <r>
    <x v="9"/>
    <x v="95"/>
    <s v="8966"/>
    <s v="Moltrup Sogn"/>
    <s v="Moltrup Kirke"/>
    <s v="Kirke"/>
  </r>
  <r>
    <x v="9"/>
    <x v="95"/>
    <s v="8967"/>
    <s v="Bjerning Sogn"/>
    <s v="Bjerning Kirke"/>
    <s v="Kirke"/>
  </r>
  <r>
    <x v="9"/>
    <x v="95"/>
    <s v="8968"/>
    <s v="Øsby Sogn"/>
    <s v="Årø Kirke"/>
    <s v="Filialkirke"/>
  </r>
  <r>
    <x v="9"/>
    <x v="95"/>
    <s v="8968"/>
    <s v="Øsby Sogn"/>
    <s v="Øsby Kirke"/>
    <s v="Kirke"/>
  </r>
  <r>
    <x v="9"/>
    <x v="95"/>
    <s v="8969"/>
    <s v="Sønder Starup Sogn"/>
    <s v="Sønder Starup Kirke"/>
    <s v="Kirke"/>
  </r>
  <r>
    <x v="9"/>
    <x v="95"/>
    <s v="8970"/>
    <s v="Grarup Sogn"/>
    <s v="Grarup Kirke"/>
    <s v="Kirke"/>
  </r>
  <r>
    <x v="9"/>
    <x v="95"/>
    <s v="8971"/>
    <s v="Vilstrup Sogn"/>
    <s v="Vilstrup Kirke"/>
    <s v="Kirke"/>
  </r>
  <r>
    <x v="9"/>
    <x v="95"/>
    <s v="8972"/>
    <s v="Vonsbæk Sogn"/>
    <s v="Vonsbæk Kirke"/>
    <s v="Kirke"/>
  </r>
  <r>
    <x v="9"/>
    <x v="95"/>
    <s v="8973"/>
    <s v="Hammelev Sogn"/>
    <s v="Hammelev Kirke"/>
    <s v="Kirke"/>
  </r>
  <r>
    <x v="9"/>
    <x v="95"/>
    <s v="8974"/>
    <s v="Maugstrup Sogn"/>
    <s v="Maugstrup Kirke"/>
    <s v="Kirke"/>
  </r>
  <r>
    <x v="9"/>
    <x v="95"/>
    <s v="8975"/>
    <s v="Vojens Sogn"/>
    <s v="Vojens Kirke"/>
    <s v="Kirke"/>
  </r>
  <r>
    <x v="9"/>
    <x v="95"/>
    <s v="8975"/>
    <s v="Vojens Sogn"/>
    <s v="Vojens Kirkes kapel"/>
    <s v="Kirke"/>
  </r>
  <r>
    <x v="9"/>
    <x v="95"/>
    <s v="8976"/>
    <s v="Jegerup Sogn"/>
    <s v="Jegerup Kirke"/>
    <s v="Kirke"/>
  </r>
  <r>
    <x v="9"/>
    <x v="95"/>
    <s v="8978"/>
    <s v="Oksenvad Sogn"/>
    <s v="Oksenvad Kirke"/>
    <s v="Kirke"/>
  </r>
  <r>
    <x v="9"/>
    <x v="95"/>
    <s v="8979"/>
    <s v="Sommersted Sogn"/>
    <s v="Sommersted Kirke"/>
    <s v="Kirke"/>
  </r>
  <r>
    <x v="9"/>
    <x v="95"/>
    <s v="8979"/>
    <s v="Sommersted Sogn"/>
    <s v="Sommersted kirkes kapel"/>
    <s v="Kirke"/>
  </r>
  <r>
    <x v="9"/>
    <x v="95"/>
    <s v="8980"/>
    <s v="Vedsted Sogn"/>
    <s v="Vedsted Kirke"/>
    <s v="Kirke"/>
  </r>
  <r>
    <x v="9"/>
    <x v="95"/>
    <s v="8982"/>
    <s v="Fjelstrup Sogn"/>
    <s v="Fjelstrup Kirke"/>
    <s v="Kirke"/>
  </r>
  <r>
    <x v="9"/>
    <x v="95"/>
    <s v="8986"/>
    <s v="Hjerndrup Sogn"/>
    <s v="Hjerndrup Kirke"/>
    <s v="Kirke"/>
  </r>
  <r>
    <x v="9"/>
    <x v="95"/>
    <s v="9037"/>
    <s v="Højrup Sogn"/>
    <s v="Højrup Kirke"/>
    <s v="Kirke"/>
  </r>
  <r>
    <x v="9"/>
    <x v="96"/>
    <s v="9010"/>
    <s v="Aabenraa Sogn"/>
    <s v="Sankt Jørgens Kirke"/>
    <s v="Filialkirke"/>
  </r>
  <r>
    <x v="9"/>
    <x v="96"/>
    <s v="9010"/>
    <s v="Aabenraa Sogn"/>
    <s v="Aabenraa Sygehus Kapel"/>
    <s v="Kirke"/>
  </r>
  <r>
    <x v="9"/>
    <x v="96"/>
    <s v="9010"/>
    <s v="Aabenraa Sogn"/>
    <s v="Aabenraa Kirkegårdskapel"/>
    <s v="Kirke"/>
  </r>
  <r>
    <x v="9"/>
    <x v="96"/>
    <s v="9010"/>
    <s v="Aabenraa Sogn"/>
    <s v="Sankt Nicolai Kirke"/>
    <s v="Kirke"/>
  </r>
  <r>
    <x v="9"/>
    <x v="96"/>
    <s v="9010"/>
    <s v="Aabenraa Sogn"/>
    <s v="Høje Kolstrup Kirke"/>
    <s v="Filialkirke"/>
  </r>
  <r>
    <x v="9"/>
    <x v="96"/>
    <s v="9011"/>
    <s v="Hjordkær Sogn"/>
    <s v="Hjordkær Kirke"/>
    <s v="Kirke"/>
  </r>
  <r>
    <x v="9"/>
    <x v="96"/>
    <s v="9012"/>
    <s v="Løjt Sogn"/>
    <s v="Løjt Kirke"/>
    <s v="Kirke"/>
  </r>
  <r>
    <x v="9"/>
    <x v="96"/>
    <s v="9013"/>
    <s v="Bjolderup Sogn"/>
    <s v="Bjolderup Kirke"/>
    <s v="Kirke"/>
  </r>
  <r>
    <x v="9"/>
    <x v="96"/>
    <s v="9014"/>
    <s v="Rise Sogn"/>
    <s v="Rise Kirke"/>
    <s v="Kirke"/>
  </r>
  <r>
    <x v="9"/>
    <x v="96"/>
    <s v="9015"/>
    <s v="Øster Løgum Sogn"/>
    <s v="Øster Løgum Kirke"/>
    <s v="Kirke"/>
  </r>
  <r>
    <x v="9"/>
    <x v="96"/>
    <s v="9017"/>
    <s v="Hellevad Sogn"/>
    <s v="Hellevad Kirke"/>
    <s v="Kirke"/>
  </r>
  <r>
    <x v="9"/>
    <x v="96"/>
    <s v="9018"/>
    <s v="Egvad Sogn"/>
    <s v="Egvad Kirke"/>
    <s v="Kirke"/>
  </r>
  <r>
    <x v="9"/>
    <x v="96"/>
    <s v="9021"/>
    <s v="Varnæs Sogn"/>
    <s v="Varnæs Kirke"/>
    <s v="Kirke"/>
  </r>
  <r>
    <x v="9"/>
    <x v="96"/>
    <s v="9022"/>
    <s v="Ensted Sogn"/>
    <s v="Ensted Kirke"/>
    <s v="Kirke"/>
  </r>
  <r>
    <x v="9"/>
    <x v="96"/>
    <s v="9023"/>
    <s v="Felsted Sogn"/>
    <s v="Felsted Kirke"/>
    <s v="Kirke"/>
  </r>
  <r>
    <x v="9"/>
    <x v="96"/>
    <s v="9024"/>
    <s v="Holbøl Sogn"/>
    <s v="Holbøl Kirke"/>
    <s v="Kirke"/>
  </r>
  <r>
    <x v="9"/>
    <x v="96"/>
    <s v="9026"/>
    <s v="Uge Sogn"/>
    <s v="Uge Kirke"/>
    <s v="Kirke"/>
  </r>
  <r>
    <x v="9"/>
    <x v="96"/>
    <s v="9027"/>
    <s v="Kliplev Sogn"/>
    <s v="Kliplev Kirke"/>
    <s v="Kirke"/>
  </r>
  <r>
    <x v="9"/>
    <x v="96"/>
    <s v="9029"/>
    <s v="Bov Sogn"/>
    <s v="Kollund Kirke"/>
    <s v="Filialkirke"/>
  </r>
  <r>
    <x v="9"/>
    <x v="96"/>
    <s v="9029"/>
    <s v="Bov Sogn"/>
    <s v="Bov Kirke"/>
    <s v="Kirke"/>
  </r>
  <r>
    <x v="9"/>
    <x v="96"/>
    <s v="9029"/>
    <s v="Bov Sogn"/>
    <s v="Bov Kirkegårds Kapel"/>
    <s v="Kirke"/>
  </r>
  <r>
    <x v="9"/>
    <x v="96"/>
    <s v="9056"/>
    <s v="Burkal Sogn"/>
    <s v="Burkal Kirke"/>
    <s v="Kirke"/>
  </r>
  <r>
    <x v="9"/>
    <x v="96"/>
    <s v="9057"/>
    <s v="Bylderup Sogn"/>
    <s v="Bylderup Kirke"/>
    <s v="Kirke"/>
  </r>
  <r>
    <x v="9"/>
    <x v="96"/>
    <s v="9060"/>
    <s v="Ravsted Sogn"/>
    <s v="Ravsted Kirke"/>
    <s v="Kirke"/>
  </r>
  <r>
    <x v="9"/>
    <x v="96"/>
    <s v="9061"/>
    <s v="Tinglev Sogn"/>
    <s v="Tinglev Kirke"/>
    <s v="Kirke"/>
  </r>
  <r>
    <x v="9"/>
    <x v="96"/>
    <s v="9260"/>
    <s v="Genner Sogn"/>
    <s v="Genner Kirke"/>
    <s v="Kirke"/>
  </r>
  <r>
    <x v="9"/>
    <x v="97"/>
    <s v="8988"/>
    <s v="Sankt Marie Sogn"/>
    <s v="Sankt Marie Kirkes Kapel"/>
    <s v="Kirke"/>
  </r>
  <r>
    <x v="9"/>
    <x v="97"/>
    <s v="8988"/>
    <s v="Sankt Marie Sogn"/>
    <s v="Sankt Marie Kirke"/>
    <s v="Kirke"/>
  </r>
  <r>
    <x v="9"/>
    <x v="97"/>
    <s v="8988"/>
    <s v="Sankt Marie Sogn"/>
    <s v="Sønderborg Sygehus Kapel"/>
    <s v="Kirke"/>
  </r>
  <r>
    <x v="9"/>
    <x v="97"/>
    <s v="8989"/>
    <s v="Christians Sogn"/>
    <s v="Christianskirkens Krypt"/>
    <s v="Kirke"/>
  </r>
  <r>
    <x v="9"/>
    <x v="97"/>
    <s v="8989"/>
    <s v="Christians Sogn"/>
    <s v="Christianskirken"/>
    <s v="Kirke"/>
  </r>
  <r>
    <x v="9"/>
    <x v="97"/>
    <s v="8990"/>
    <s v="Augustenborg Sogn"/>
    <s v="Augustenborg Slotskirke"/>
    <s v="Kirke"/>
  </r>
  <r>
    <x v="9"/>
    <x v="97"/>
    <s v="8990"/>
    <s v="Augustenborg Sogn"/>
    <s v="Augustenborg Kirkegårds Kapel"/>
    <s v="Kirke"/>
  </r>
  <r>
    <x v="9"/>
    <x v="97"/>
    <s v="8991"/>
    <s v="Ketting Sogn"/>
    <s v="Ketting Kirke"/>
    <s v="Kirke"/>
  </r>
  <r>
    <x v="9"/>
    <x v="97"/>
    <s v="8992"/>
    <s v="Ulkebøl Sogn"/>
    <s v="Ulkebøl Kirke"/>
    <s v="Kirke"/>
  </r>
  <r>
    <x v="9"/>
    <x v="97"/>
    <s v="8993"/>
    <s v="Notmark Sogn"/>
    <s v="Vor Frue Kirke"/>
    <s v="Kirke"/>
  </r>
  <r>
    <x v="9"/>
    <x v="97"/>
    <s v="8994"/>
    <s v="Asserballe Sogn"/>
    <s v="Asserballe Kirke"/>
    <s v="Kirke"/>
  </r>
  <r>
    <x v="9"/>
    <x v="97"/>
    <s v="8995"/>
    <s v="Tandslet Sogn"/>
    <s v="Tandslet Kirke"/>
    <s v="Kirke"/>
  </r>
  <r>
    <x v="9"/>
    <x v="97"/>
    <s v="8996"/>
    <s v="Hørup Sogn"/>
    <s v="Hørup Kirke"/>
    <s v="Kirke"/>
  </r>
  <r>
    <x v="9"/>
    <x v="97"/>
    <s v="8997"/>
    <s v="Lysabild Sogn"/>
    <s v="Lysabild Kirke"/>
    <s v="Kirke"/>
  </r>
  <r>
    <x v="9"/>
    <x v="97"/>
    <s v="8998"/>
    <s v="Kegnæs Sogn"/>
    <s v="Sankt Johannes Kirke"/>
    <s v="Kirke"/>
  </r>
  <r>
    <x v="9"/>
    <x v="97"/>
    <s v="8999"/>
    <s v="Nordborg Sogn"/>
    <s v="Nordborg kirkegårds kapel"/>
    <s v="Kirke"/>
  </r>
  <r>
    <x v="9"/>
    <x v="97"/>
    <s v="8999"/>
    <s v="Nordborg Sogn"/>
    <s v="Nordborg Kirke"/>
    <s v="Kirke"/>
  </r>
  <r>
    <x v="9"/>
    <x v="97"/>
    <s v="9000"/>
    <s v="Svenstrup Sogn"/>
    <s v="Svenstrup Kirke"/>
    <s v="Kirke"/>
  </r>
  <r>
    <x v="9"/>
    <x v="97"/>
    <s v="9001"/>
    <s v="Havnbjerg Sogn"/>
    <s v="Havnbjerg Kirke"/>
    <s v="Kirke"/>
  </r>
  <r>
    <x v="9"/>
    <x v="97"/>
    <s v="9002"/>
    <s v="Oksbøl Sogn"/>
    <s v="Vor Frue Kirke"/>
    <s v="Kirke"/>
  </r>
  <r>
    <x v="9"/>
    <x v="97"/>
    <s v="9003"/>
    <s v="Egen Sogn"/>
    <s v="Egen Kirke"/>
    <s v="Kirke"/>
  </r>
  <r>
    <x v="9"/>
    <x v="97"/>
    <s v="9004"/>
    <s v="Broager Sogn"/>
    <s v="Broager Kirke"/>
    <s v="Kirke"/>
  </r>
  <r>
    <x v="9"/>
    <x v="97"/>
    <s v="9004"/>
    <s v="Broager Sogn"/>
    <s v="Broager Kirkegårdskapel"/>
    <s v="Kirke"/>
  </r>
  <r>
    <x v="9"/>
    <x v="97"/>
    <s v="9005"/>
    <s v="Egernsund Sogn"/>
    <s v="Egernsund Kirke"/>
    <s v="Kirke"/>
  </r>
  <r>
    <x v="9"/>
    <x v="97"/>
    <s v="9006"/>
    <s v="Dybbøl Sogn"/>
    <s v="Dybbøl kapel"/>
    <s v="Kirke"/>
  </r>
  <r>
    <x v="9"/>
    <x v="97"/>
    <s v="9006"/>
    <s v="Dybbøl Sogn"/>
    <s v="Dybbøl Kirke"/>
    <s v="Kirke"/>
  </r>
  <r>
    <x v="9"/>
    <x v="97"/>
    <s v="9007"/>
    <s v="Nybøl Sogn"/>
    <s v="Stenderup Kirke"/>
    <s v="Kirke"/>
  </r>
  <r>
    <x v="9"/>
    <x v="97"/>
    <s v="9007"/>
    <s v="Nybøl Sogn"/>
    <s v="Nybøl Kirke"/>
    <s v="Kirke"/>
  </r>
  <r>
    <x v="9"/>
    <x v="97"/>
    <s v="9008"/>
    <s v="Sottrup Sogn"/>
    <s v="Sottrup Kirke"/>
    <s v="Kirke"/>
  </r>
  <r>
    <x v="9"/>
    <x v="97"/>
    <s v="9009"/>
    <s v="Ullerup Sogn"/>
    <s v="Ullerup Kirke"/>
    <s v="Kirke"/>
  </r>
  <r>
    <x v="9"/>
    <x v="97"/>
    <s v="9025"/>
    <s v="Rinkenæs Sogn"/>
    <s v="Rinkenæs gamle kirke"/>
    <s v="Filialkirke"/>
  </r>
  <r>
    <x v="9"/>
    <x v="97"/>
    <s v="9025"/>
    <s v="Rinkenæs Sogn"/>
    <s v="Rinkenæs Korskirke"/>
    <s v="Kirke"/>
  </r>
  <r>
    <x v="9"/>
    <x v="97"/>
    <s v="9028"/>
    <s v="Kværs Sogn"/>
    <s v="Kværs Kirke"/>
    <s v="Kirke"/>
  </r>
  <r>
    <x v="9"/>
    <x v="97"/>
    <s v="9358"/>
    <s v="Gråsten-Adsbøl Sogn"/>
    <s v="Adsbøl Kirke"/>
    <s v="Kirke"/>
  </r>
  <r>
    <x v="9"/>
    <x v="97"/>
    <s v="9358"/>
    <s v="Gråsten-Adsbøl Sogn"/>
    <s v="Gråsten Slotskirke"/>
    <s v="Kirke"/>
  </r>
  <r>
    <x v="9"/>
    <x v="97"/>
    <s v="9358"/>
    <s v="Gråsten-Adsbøl Sogn"/>
    <s v="Gråsten Kapel"/>
    <s v="Kirke"/>
  </r>
  <r>
    <x v="9"/>
    <x v="98"/>
    <s v="7909"/>
    <s v="Trinitatis Sogn"/>
    <s v="Trinitatis Kirke"/>
    <s v="Kirke"/>
  </r>
  <r>
    <x v="9"/>
    <x v="98"/>
    <s v="7909"/>
    <s v="Trinitatis Sogn"/>
    <s v="Fredericia Sygehus kapel"/>
    <s v="Kirke"/>
  </r>
  <r>
    <x v="9"/>
    <x v="98"/>
    <s v="7910"/>
    <s v="Vejlby Sogn"/>
    <s v="Egeskov Kirke"/>
    <s v="Kirke"/>
  </r>
  <r>
    <x v="9"/>
    <x v="98"/>
    <s v="7911"/>
    <s v="Sankt Michaelis Sogn"/>
    <s v="Kirkesalen Ulleruphus"/>
    <s v="Kirke"/>
  </r>
  <r>
    <x v="9"/>
    <x v="98"/>
    <s v="7911"/>
    <s v="Sankt Michaelis Sogn"/>
    <s v="Ulleruphus Kirkesal"/>
    <s v="Kirke"/>
  </r>
  <r>
    <x v="9"/>
    <x v="98"/>
    <s v="7911"/>
    <s v="Sankt Michaelis Sogn"/>
    <s v="Sankt Michaelis Kirke"/>
    <s v="Kirke"/>
  </r>
  <r>
    <x v="9"/>
    <x v="98"/>
    <s v="7912"/>
    <s v="Christians Sogn"/>
    <s v="Christianskirken"/>
    <s v="Kirke"/>
  </r>
  <r>
    <x v="9"/>
    <x v="98"/>
    <s v="7913"/>
    <s v="Erritsø Sogn"/>
    <s v="Erritsø Kirke"/>
    <s v="Kirke"/>
  </r>
  <r>
    <x v="9"/>
    <x v="98"/>
    <s v="7914"/>
    <s v="Bredstrup Sogn"/>
    <s v="Bredstrup Kirke"/>
    <s v="Kirke"/>
  </r>
  <r>
    <x v="9"/>
    <x v="98"/>
    <s v="7915"/>
    <s v="Taulov Sogn"/>
    <s v="Taulov Kirke"/>
    <s v="Kirke"/>
  </r>
  <r>
    <x v="9"/>
    <x v="98"/>
    <s v="7921"/>
    <s v="Pjedsted Sogn"/>
    <s v="Pjedsted Kirke"/>
    <s v="Kirke"/>
  </r>
  <r>
    <x v="9"/>
    <x v="98"/>
    <s v="7935"/>
    <s v="Herslev Sogn"/>
    <s v="Herslev Kirke"/>
    <s v="Kirke"/>
  </r>
  <r>
    <x v="9"/>
    <x v="98"/>
    <s v="9087"/>
    <s v="Hannerup Sogn"/>
    <s v="Hannerup Kirke"/>
    <s v="Kirke"/>
  </r>
  <r>
    <x v="9"/>
    <x v="98"/>
    <s v="9163"/>
    <s v="Lyng Sogn"/>
    <s v="Lyng Kirke"/>
    <s v="Kirke"/>
  </r>
  <r>
    <x v="9"/>
    <x v="99"/>
    <s v="7927"/>
    <s v="Sankt Nicolai Sogn"/>
    <s v="Sankt Nicolai Kirke"/>
    <s v="Kirke"/>
  </r>
  <r>
    <x v="9"/>
    <x v="99"/>
    <s v="7928"/>
    <s v="Kristkirkens Sogn"/>
    <s v="Gamle kirkegårds kapel, Kolding"/>
    <s v="Kirke"/>
  </r>
  <r>
    <x v="9"/>
    <x v="99"/>
    <s v="7928"/>
    <s v="Kristkirkens Sogn"/>
    <s v="Immanuelskirken"/>
    <s v="Filialkirke"/>
  </r>
  <r>
    <x v="9"/>
    <x v="99"/>
    <s v="7928"/>
    <s v="Kristkirkens Sogn"/>
    <s v="Søndre Kapel, Kolding"/>
    <s v="Kirke"/>
  </r>
  <r>
    <x v="9"/>
    <x v="99"/>
    <s v="7928"/>
    <s v="Kristkirkens Sogn"/>
    <s v="Kristkirken"/>
    <s v="Kirke"/>
  </r>
  <r>
    <x v="9"/>
    <x v="99"/>
    <s v="7929"/>
    <s v="Brændkjær Sogn"/>
    <s v="Brændkjærkirken"/>
    <s v="Kirke"/>
  </r>
  <r>
    <x v="9"/>
    <x v="99"/>
    <s v="7930"/>
    <s v="Eltang Sogn"/>
    <s v="Eltang Kirke"/>
    <s v="Kirke"/>
  </r>
  <r>
    <x v="9"/>
    <x v="99"/>
    <s v="7931"/>
    <s v="Sønder Vilstrup Sogn"/>
    <s v="Sønder Vilstrup Kirke"/>
    <s v="Kirke"/>
  </r>
  <r>
    <x v="9"/>
    <x v="99"/>
    <s v="7932"/>
    <s v="Nørre Bjert Sogn"/>
    <s v="Nørre Bjert Kirkes kapel"/>
    <s v="Kirke"/>
  </r>
  <r>
    <x v="9"/>
    <x v="99"/>
    <s v="7932"/>
    <s v="Nørre Bjert Sogn"/>
    <s v="Nørre Bjert Kirke"/>
    <s v="Kirke"/>
  </r>
  <r>
    <x v="9"/>
    <x v="99"/>
    <s v="7933"/>
    <s v="Harte Sogn"/>
    <s v="Harte Kirke"/>
    <s v="Kirke"/>
  </r>
  <r>
    <x v="9"/>
    <x v="99"/>
    <s v="7934"/>
    <s v="Bramdrup Sogn"/>
    <s v="Bramdrup Kirke"/>
    <s v="Kirke"/>
  </r>
  <r>
    <x v="9"/>
    <x v="99"/>
    <s v="7934"/>
    <s v="Bramdrup Sogn"/>
    <s v="Bramdrup Sognegård"/>
    <s v="Kirke"/>
  </r>
  <r>
    <x v="9"/>
    <x v="99"/>
    <s v="7936"/>
    <s v="Almind Sogn"/>
    <s v="Almind Kirke"/>
    <s v="Kirke"/>
  </r>
  <r>
    <x v="9"/>
    <x v="99"/>
    <s v="7937"/>
    <s v="Viuf Sogn"/>
    <s v="Viuf Kirke"/>
    <s v="Kirke"/>
  </r>
  <r>
    <x v="9"/>
    <x v="99"/>
    <s v="7939"/>
    <s v="Vester Nebel Sogn"/>
    <s v="Vester Nebel Kirke"/>
    <s v="Kirke"/>
  </r>
  <r>
    <x v="9"/>
    <x v="99"/>
    <s v="7940"/>
    <s v="Vonsild Sogn"/>
    <s v="Vonsild Kirke"/>
    <s v="Kirke"/>
  </r>
  <r>
    <x v="9"/>
    <x v="99"/>
    <s v="7941"/>
    <s v="Dalby Sogn"/>
    <s v="Dalby Kirke"/>
    <s v="Kirke"/>
  </r>
  <r>
    <x v="9"/>
    <x v="99"/>
    <s v="7942"/>
    <s v="Sønder Bjert Sogn"/>
    <s v="Sønder Bjert Kirke"/>
    <s v="Kirke"/>
  </r>
  <r>
    <x v="9"/>
    <x v="99"/>
    <s v="7943"/>
    <s v="Sønder Stenderup Sogn"/>
    <s v="Sønder Stenderup Kirke"/>
    <s v="Kirke"/>
  </r>
  <r>
    <x v="9"/>
    <x v="99"/>
    <s v="7944"/>
    <s v="Hejls Sogn"/>
    <s v="Hejls Kirke"/>
    <s v="Kirke"/>
  </r>
  <r>
    <x v="9"/>
    <x v="99"/>
    <s v="7945"/>
    <s v="Vejstrup Sogn"/>
    <s v="Vejstrup Kirke"/>
    <s v="Kirke"/>
  </r>
  <r>
    <x v="9"/>
    <x v="99"/>
    <s v="7946"/>
    <s v="Ødis Sogn"/>
    <s v="Ødis Kirke"/>
    <s v="Kirke"/>
  </r>
  <r>
    <x v="9"/>
    <x v="99"/>
    <s v="7947"/>
    <s v="Taps Sogn"/>
    <s v="Taps Kirke"/>
    <s v="Kirke"/>
  </r>
  <r>
    <x v="9"/>
    <x v="99"/>
    <s v="8935"/>
    <s v="Lejrskov Sogn"/>
    <s v="Lejrskov Kirke"/>
    <s v="Kirke"/>
  </r>
  <r>
    <x v="9"/>
    <x v="99"/>
    <s v="8936"/>
    <s v="Jordrup Sogn"/>
    <s v="Jordrup Kirke"/>
    <s v="Kirke"/>
  </r>
  <r>
    <x v="9"/>
    <x v="99"/>
    <s v="8939"/>
    <s v="Skanderup Sogn"/>
    <s v="Skanderup Kirke"/>
    <s v="Kirke"/>
  </r>
  <r>
    <x v="9"/>
    <x v="99"/>
    <s v="8939"/>
    <s v="Skanderup Sogn"/>
    <s v="Skanderup Valgmenighedskirke"/>
    <s v="Kirke"/>
  </r>
  <r>
    <x v="9"/>
    <x v="99"/>
    <s v="8940"/>
    <s v="Seest Sogn"/>
    <s v="Seest Kirke"/>
    <s v="Kirke"/>
  </r>
  <r>
    <x v="9"/>
    <x v="99"/>
    <s v="8941"/>
    <s v="Hjarup Sogn"/>
    <s v="Hjarup Kirke"/>
    <s v="Kirke"/>
  </r>
  <r>
    <x v="9"/>
    <x v="99"/>
    <s v="8981"/>
    <s v="Aller Sogn"/>
    <s v="Aller Kirke"/>
    <s v="Kirke"/>
  </r>
  <r>
    <x v="9"/>
    <x v="99"/>
    <s v="8983"/>
    <s v="Stepping Sogn"/>
    <s v="Stepping Kirke"/>
    <s v="Kirke"/>
  </r>
  <r>
    <x v="9"/>
    <x v="99"/>
    <s v="8984"/>
    <s v="Frørup Sogn"/>
    <s v="Frørup Kirke"/>
    <s v="Kirke"/>
  </r>
  <r>
    <x v="9"/>
    <x v="99"/>
    <s v="8985"/>
    <s v="Tyrstrup Sogn"/>
    <s v="Tyrstrup Kirke"/>
    <s v="Kirke"/>
  </r>
  <r>
    <x v="9"/>
    <x v="99"/>
    <s v="9067"/>
    <s v="Vamdrup Sogn"/>
    <s v="Vamdrup Kirke"/>
    <s v="Kirke"/>
  </r>
  <r>
    <x v="9"/>
    <x v="99"/>
    <s v="9116"/>
    <s v="Simon Peters Sogn"/>
    <s v="Nordre Kapel, Kolding"/>
    <s v="Kirke"/>
  </r>
  <r>
    <x v="9"/>
    <x v="99"/>
    <s v="9116"/>
    <s v="Simon Peters Sogn"/>
    <s v="Nordre Kapel"/>
    <s v="Kirke"/>
  </r>
  <r>
    <x v="9"/>
    <x v="99"/>
    <s v="9116"/>
    <s v="Simon Peters Sogn"/>
    <s v="Kolding Sygehus Kapel"/>
    <s v="Kirke"/>
  </r>
  <r>
    <x v="9"/>
    <x v="99"/>
    <s v="9116"/>
    <s v="Simon Peters Sogn"/>
    <s v="Simon Peters Kirke"/>
    <s v="Kirke"/>
  </r>
  <r>
    <x v="9"/>
    <x v="100"/>
    <s v="7894"/>
    <s v="Vor Frelsers Sogn"/>
    <s v="Vor Frelsers Kirke"/>
    <s v="Kirke"/>
  </r>
  <r>
    <x v="9"/>
    <x v="100"/>
    <s v="7894"/>
    <s v="Vor Frelsers Sogn"/>
    <s v="Sygehusets Kapel"/>
    <s v="Kirke"/>
  </r>
  <r>
    <x v="9"/>
    <x v="100"/>
    <s v="7894"/>
    <s v="Vor Frelsers Sogn"/>
    <s v="Nordre Kapel"/>
    <s v="Kirkesal"/>
  </r>
  <r>
    <x v="9"/>
    <x v="100"/>
    <s v="7895"/>
    <s v="Sankt Johannes Sogn"/>
    <s v="Sankt Johannes Kirke"/>
    <s v="Kirke"/>
  </r>
  <r>
    <x v="9"/>
    <x v="100"/>
    <s v="7896"/>
    <s v="Hornstrup Sogn"/>
    <s v="Hornstrup Kirke"/>
    <s v="Kirke"/>
  </r>
  <r>
    <x v="9"/>
    <x v="100"/>
    <s v="7898"/>
    <s v="Grejs Sogn"/>
    <s v="Grejs Kirke"/>
    <s v="Kirke"/>
  </r>
  <r>
    <x v="9"/>
    <x v="100"/>
    <s v="7903"/>
    <s v="Bredsten Sogn"/>
    <s v="Bredsten Kirke"/>
    <s v="Kirke"/>
  </r>
  <r>
    <x v="9"/>
    <x v="100"/>
    <s v="7903"/>
    <s v="Bredsten Sogn"/>
    <s v="Balle Valgmenighedskirke"/>
    <s v="Kirke"/>
  </r>
  <r>
    <x v="9"/>
    <x v="100"/>
    <s v="7904"/>
    <s v="Skibet Sogn"/>
    <s v="Skibet Kirke"/>
    <s v="Kirke"/>
  </r>
  <r>
    <x v="9"/>
    <x v="100"/>
    <s v="7905"/>
    <s v="Jelling Sogn"/>
    <s v="Jelling Kirke"/>
    <s v="Kirke"/>
  </r>
  <r>
    <x v="9"/>
    <x v="100"/>
    <s v="7906"/>
    <s v="Hover Sogn"/>
    <s v="Grejsdal Kirke"/>
    <s v="Filialkirke"/>
  </r>
  <r>
    <x v="9"/>
    <x v="100"/>
    <s v="7906"/>
    <s v="Hover Sogn"/>
    <s v="Hover Kirke"/>
    <s v="Kirke"/>
  </r>
  <r>
    <x v="9"/>
    <x v="100"/>
    <s v="7907"/>
    <s v="Kollerup Sogn"/>
    <s v="Kollerup Kirke"/>
    <s v="Kirke"/>
  </r>
  <r>
    <x v="9"/>
    <x v="100"/>
    <s v="7908"/>
    <s v="Vindelev Sogn"/>
    <s v="Vindelev Kirke"/>
    <s v="Kirke"/>
  </r>
  <r>
    <x v="9"/>
    <x v="100"/>
    <s v="7916"/>
    <s v="Gauerslund Sogn"/>
    <s v="Gauerslund Kirke"/>
    <s v="Kirke"/>
  </r>
  <r>
    <x v="9"/>
    <x v="100"/>
    <s v="7916"/>
    <s v="Gauerslund Sogn"/>
    <s v="Brejning Kirke"/>
    <s v="Filialkirke"/>
  </r>
  <r>
    <x v="9"/>
    <x v="100"/>
    <s v="7917"/>
    <s v="Vinding Sogn"/>
    <s v="Vinding Kirke"/>
    <s v="Kirke"/>
  </r>
  <r>
    <x v="9"/>
    <x v="100"/>
    <s v="7918"/>
    <s v="Skærup Sogn"/>
    <s v="Skærup Kirke"/>
    <s v="Kirke"/>
  </r>
  <r>
    <x v="9"/>
    <x v="100"/>
    <s v="7919"/>
    <s v="Mølholm Sogn"/>
    <s v="Mølholm Kirke"/>
    <s v="Kirke"/>
  </r>
  <r>
    <x v="9"/>
    <x v="100"/>
    <s v="7920"/>
    <s v="Smidstrup Sogn"/>
    <s v="Smidstrup Kirke"/>
    <s v="Kirke"/>
  </r>
  <r>
    <x v="9"/>
    <x v="100"/>
    <s v="7922"/>
    <s v="Gårslev Sogn"/>
    <s v="Gårslev Kirke"/>
    <s v="Kirke"/>
  </r>
  <r>
    <x v="9"/>
    <x v="100"/>
    <s v="7923"/>
    <s v="Højen Sogn"/>
    <s v="Højen Kirke"/>
    <s v="Kirke"/>
  </r>
  <r>
    <x v="9"/>
    <x v="100"/>
    <s v="7924"/>
    <s v="Jerlev Sogn"/>
    <s v="Jerlev Kirke"/>
    <s v="Kirke"/>
  </r>
  <r>
    <x v="9"/>
    <x v="100"/>
    <s v="7925"/>
    <s v="Egtved Sogn"/>
    <s v="Egtved kirkegårds kapel"/>
    <s v="Kirke"/>
  </r>
  <r>
    <x v="9"/>
    <x v="100"/>
    <s v="7925"/>
    <s v="Egtved Sogn"/>
    <s v="Egtved Kirke"/>
    <s v="Kirke"/>
  </r>
  <r>
    <x v="9"/>
    <x v="100"/>
    <s v="7926"/>
    <s v="Ødsted Sogn"/>
    <s v="Ødsted Kirke"/>
    <s v="Kirke"/>
  </r>
  <r>
    <x v="9"/>
    <x v="100"/>
    <s v="7938"/>
    <s v="Øster Starup Sogn"/>
    <s v="Øster Starup Kirke"/>
    <s v="Kirke"/>
  </r>
  <r>
    <x v="9"/>
    <x v="100"/>
    <s v="7938"/>
    <s v="Øster Starup Sogn"/>
    <s v="Øster Starup kirkegårds kapel"/>
    <s v="Kirke"/>
  </r>
  <r>
    <x v="9"/>
    <x v="100"/>
    <s v="7973"/>
    <s v="Engum Sogn"/>
    <s v="Engum Kirke"/>
    <s v="Kirke"/>
  </r>
  <r>
    <x v="9"/>
    <x v="100"/>
    <s v="9092"/>
    <s v="Nørremarks Sogn"/>
    <s v="Skovkapellet"/>
    <s v="Kirke"/>
  </r>
  <r>
    <x v="9"/>
    <x v="100"/>
    <s v="9092"/>
    <s v="Nørremarks Sogn"/>
    <s v="Nørremarkskirken"/>
    <s v="Kirke"/>
  </r>
  <r>
    <x v="9"/>
    <x v="100"/>
    <s v="9100"/>
    <s v="Bredballe Sogn"/>
    <s v="Bredballe Kirke"/>
    <s v="Kirke"/>
  </r>
  <r>
    <x v="9"/>
    <x v="100"/>
    <s v="9100"/>
    <s v="Bredballe Sogn"/>
    <s v="Bredballe Kirkegårdskapel"/>
    <s v="Kirkesal"/>
  </r>
  <r>
    <x v="9"/>
    <x v="100"/>
    <s v="9188"/>
    <s v="Hvejsel Sogn"/>
    <s v="Hvejsel Kirke"/>
    <s v="Kirke"/>
  </r>
  <r>
    <x v="9"/>
    <x v="100"/>
    <s v="9188"/>
    <s v="Hvejsel Sogn"/>
    <s v="Ildved Kirke"/>
    <s v="Kirke"/>
  </r>
  <r>
    <x v="9"/>
    <x v="100"/>
    <s v="9349"/>
    <s v="Sankt Nicolai Sogn"/>
    <s v="Sankt Nicolai Kirke"/>
    <s v="Kirke"/>
  </r>
  <r>
    <x v="9"/>
    <x v="100"/>
    <s v="9350"/>
    <s v="Vejle Søndre Sogn"/>
    <s v="Søndermarkskirken"/>
    <s v="Kirke"/>
  </r>
  <r>
    <x v="9"/>
    <x v="100"/>
    <s v="9350"/>
    <s v="Vejle Søndre Sogn"/>
    <s v="Løget Kirke"/>
    <s v="Kirke"/>
  </r>
  <r>
    <x v="9"/>
    <x v="101"/>
    <s v="7897"/>
    <s v="Øster Snede Sogn"/>
    <s v="Øster Snede Kirke"/>
    <s v="Kirke"/>
  </r>
  <r>
    <x v="9"/>
    <x v="101"/>
    <s v="7899"/>
    <s v="Sindbjerg Sogn"/>
    <s v="Sindbjerg Kirke"/>
    <s v="Kirke"/>
  </r>
  <r>
    <x v="9"/>
    <x v="101"/>
    <s v="7900"/>
    <s v="Uldum Sogn"/>
    <s v="Uldum Kirke"/>
    <s v="Kirke"/>
  </r>
  <r>
    <x v="9"/>
    <x v="101"/>
    <s v="7901"/>
    <s v="Langskov Sogn"/>
    <s v="Langskov Kirke"/>
    <s v="Kirke"/>
  </r>
  <r>
    <x v="9"/>
    <x v="101"/>
    <s v="7948"/>
    <s v="Nebsager Sogn"/>
    <s v="Nebsager Kirke"/>
    <s v="Kirke"/>
  </r>
  <r>
    <x v="9"/>
    <x v="101"/>
    <s v="7949"/>
    <s v="Bjerre Sogn"/>
    <s v="Bjerre Kirke"/>
    <s v="Kirke"/>
  </r>
  <r>
    <x v="9"/>
    <x v="101"/>
    <s v="7950"/>
    <s v="Urlev Sogn"/>
    <s v="Urlev Kirke"/>
    <s v="Kirke"/>
  </r>
  <r>
    <x v="9"/>
    <x v="101"/>
    <s v="7951"/>
    <s v="Stenderup Sogn"/>
    <s v="Stenderup Kirke"/>
    <s v="Kirke"/>
  </r>
  <r>
    <x v="9"/>
    <x v="101"/>
    <s v="7952"/>
    <s v="Ørum Sogn"/>
    <s v="Ørum Kirke"/>
    <s v="Kirke"/>
  </r>
  <r>
    <x v="9"/>
    <x v="101"/>
    <s v="7953"/>
    <s v="Daugård Sogn"/>
    <s v="Daugård Kirke"/>
    <s v="Kirke"/>
  </r>
  <r>
    <x v="9"/>
    <x v="101"/>
    <s v="7954"/>
    <s v="Stouby Sogn"/>
    <s v="Stouby Kirke"/>
    <s v="Kirke"/>
  </r>
  <r>
    <x v="9"/>
    <x v="101"/>
    <s v="7955"/>
    <s v="Hornum Sogn"/>
    <s v="Hornum Kirke"/>
    <s v="Kirke"/>
  </r>
  <r>
    <x v="9"/>
    <x v="101"/>
    <s v="7956"/>
    <s v="Barrit Sogn"/>
    <s v="Barrit Kirke"/>
    <s v="Kirke"/>
  </r>
  <r>
    <x v="9"/>
    <x v="101"/>
    <s v="7957"/>
    <s v="Vrigsted Sogn"/>
    <s v="Vrigsted Kirke"/>
    <s v="Kirke"/>
  </r>
  <r>
    <x v="9"/>
    <x v="101"/>
    <s v="7958"/>
    <s v="As Sogn"/>
    <s v="As Kirke"/>
    <s v="Kirke"/>
  </r>
  <r>
    <x v="9"/>
    <x v="101"/>
    <s v="7959"/>
    <s v="Klakring Sogn"/>
    <s v="Klakring Kirke"/>
    <s v="Kirke"/>
  </r>
  <r>
    <x v="9"/>
    <x v="101"/>
    <s v="7960"/>
    <s v="Rårup Sogn"/>
    <s v="Møgelkær Kirke"/>
    <s v="Fængselskirke"/>
  </r>
  <r>
    <x v="9"/>
    <x v="101"/>
    <s v="7960"/>
    <s v="Rårup Sogn"/>
    <s v="Rårup Kirke"/>
    <s v="Kirke"/>
  </r>
  <r>
    <x v="9"/>
    <x v="101"/>
    <s v="7961"/>
    <s v="Skjold Sogn"/>
    <s v="Skjold Kirke"/>
    <s v="Kirke"/>
  </r>
  <r>
    <x v="9"/>
    <x v="101"/>
    <s v="7962"/>
    <s v="Glud Sogn"/>
    <s v="Glud Kirke"/>
    <s v="Kirke"/>
  </r>
  <r>
    <x v="9"/>
    <x v="101"/>
    <s v="7963"/>
    <s v="Hjarnø Sogn"/>
    <s v="Hjarnø Kirke"/>
    <s v="Kirke"/>
  </r>
  <r>
    <x v="9"/>
    <x v="101"/>
    <s v="7965"/>
    <s v="Ølsted Sogn"/>
    <s v="Ølsted Kirke"/>
    <s v="Kirke"/>
  </r>
  <r>
    <x v="9"/>
    <x v="101"/>
    <s v="7969"/>
    <s v="Løsning Sogn"/>
    <s v="Løsning gamle kirke"/>
    <s v="Kirke"/>
  </r>
  <r>
    <x v="9"/>
    <x v="101"/>
    <s v="7969"/>
    <s v="Løsning Sogn"/>
    <s v="Løsning Kirke"/>
    <s v="Kirke"/>
  </r>
  <r>
    <x v="9"/>
    <x v="101"/>
    <s v="7970"/>
    <s v="Korning Sogn"/>
    <s v="Korning Kirke"/>
    <s v="Kirke"/>
  </r>
  <r>
    <x v="9"/>
    <x v="101"/>
    <s v="7971"/>
    <s v="Hedensted Sogn"/>
    <s v="Hedensted Kirke"/>
    <s v="Kirke"/>
  </r>
  <r>
    <x v="9"/>
    <x v="101"/>
    <s v="7971"/>
    <s v="Hedensted Sogn"/>
    <s v="Hedensted Kapel, Hedensted"/>
    <s v="Kirke"/>
  </r>
  <r>
    <x v="9"/>
    <x v="101"/>
    <s v="7972"/>
    <s v="Store Dalby Sogn"/>
    <s v="Store Dalby Kirke"/>
    <s v="Kirke"/>
  </r>
  <r>
    <x v="9"/>
    <x v="101"/>
    <s v="8001"/>
    <s v="Aale Sogn"/>
    <s v="Aale Kirke"/>
    <s v="Kirke"/>
  </r>
  <r>
    <x v="9"/>
    <x v="101"/>
    <s v="8002"/>
    <s v="Linnerup Sogn"/>
    <s v="Linnerup Kirke"/>
    <s v="Kirke"/>
  </r>
  <r>
    <x v="9"/>
    <x v="101"/>
    <s v="8003"/>
    <s v="Tørring Sogn"/>
    <s v="Tørring Kirke, Kapellet"/>
    <s v="Kirke"/>
  </r>
  <r>
    <x v="9"/>
    <x v="101"/>
    <s v="8003"/>
    <s v="Tørring Sogn"/>
    <s v="Tørring Kirke"/>
    <s v="Kirke"/>
  </r>
  <r>
    <x v="9"/>
    <x v="101"/>
    <s v="8004"/>
    <s v="Hammer Sogn"/>
    <s v="Hammer Kirke"/>
    <s v="Kirke"/>
  </r>
  <r>
    <x v="9"/>
    <x v="101"/>
    <s v="8057"/>
    <s v="Hvirring Sogn"/>
    <s v="Hvirring Kirke"/>
    <s v="Kirke"/>
  </r>
  <r>
    <x v="9"/>
    <x v="101"/>
    <s v="8058"/>
    <s v="Hornborg Sogn"/>
    <s v="Hornborg Kirke"/>
    <s v="Kirke"/>
  </r>
  <r>
    <x v="9"/>
    <x v="101"/>
    <s v="9112"/>
    <s v="Juelsminde Sogn"/>
    <s v="Juelsminde Kirke"/>
    <s v="Kirke"/>
  </r>
  <r>
    <x v="9"/>
    <x v="101"/>
    <s v="9262"/>
    <s v="Klejs Sogn"/>
    <s v="Klejs Kirke"/>
    <s v="Kirke"/>
  </r>
  <r>
    <x v="10"/>
    <x v="10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6">
  <r>
    <x v="0"/>
    <x v="0"/>
    <s v="7002"/>
  </r>
  <r>
    <x v="0"/>
    <x v="0"/>
    <s v="7003"/>
  </r>
  <r>
    <x v="0"/>
    <x v="1"/>
    <s v="7011"/>
  </r>
  <r>
    <x v="0"/>
    <x v="2"/>
    <s v="7024"/>
  </r>
  <r>
    <x v="0"/>
    <x v="2"/>
    <s v="7026"/>
  </r>
  <r>
    <x v="0"/>
    <x v="2"/>
    <s v="7027"/>
  </r>
  <r>
    <x v="0"/>
    <x v="2"/>
    <s v="7028"/>
  </r>
  <r>
    <x v="0"/>
    <x v="3"/>
    <s v="7036"/>
  </r>
  <r>
    <x v="0"/>
    <x v="3"/>
    <s v="7037"/>
  </r>
  <r>
    <x v="0"/>
    <x v="3"/>
    <s v="7038"/>
  </r>
  <r>
    <x v="0"/>
    <x v="3"/>
    <s v="7039"/>
  </r>
  <r>
    <x v="0"/>
    <x v="3"/>
    <s v="7040"/>
  </r>
  <r>
    <x v="0"/>
    <x v="3"/>
    <s v="7041"/>
  </r>
  <r>
    <x v="0"/>
    <x v="3"/>
    <s v="7043"/>
  </r>
  <r>
    <x v="0"/>
    <x v="3"/>
    <s v="7044"/>
  </r>
  <r>
    <x v="0"/>
    <x v="3"/>
    <s v="7046"/>
  </r>
  <r>
    <x v="0"/>
    <x v="1"/>
    <s v="7050"/>
  </r>
  <r>
    <x v="0"/>
    <x v="1"/>
    <s v="7051"/>
  </r>
  <r>
    <x v="0"/>
    <x v="1"/>
    <s v="7053"/>
  </r>
  <r>
    <x v="0"/>
    <x v="3"/>
    <s v="7054"/>
  </r>
  <r>
    <x v="0"/>
    <x v="3"/>
    <s v="7055"/>
  </r>
  <r>
    <x v="0"/>
    <x v="3"/>
    <s v="7056"/>
  </r>
  <r>
    <x v="0"/>
    <x v="2"/>
    <s v="7057"/>
  </r>
  <r>
    <x v="0"/>
    <x v="2"/>
    <s v="7058"/>
  </r>
  <r>
    <x v="0"/>
    <x v="2"/>
    <s v="7059"/>
  </r>
  <r>
    <x v="0"/>
    <x v="2"/>
    <s v="7060"/>
  </r>
  <r>
    <x v="0"/>
    <x v="4"/>
    <s v="7061"/>
  </r>
  <r>
    <x v="0"/>
    <x v="4"/>
    <s v="7062"/>
  </r>
  <r>
    <x v="0"/>
    <x v="4"/>
    <s v="7063"/>
  </r>
  <r>
    <x v="0"/>
    <x v="4"/>
    <s v="7064"/>
  </r>
  <r>
    <x v="0"/>
    <x v="4"/>
    <s v="7065"/>
  </r>
  <r>
    <x v="0"/>
    <x v="3"/>
    <s v="7066"/>
  </r>
  <r>
    <x v="0"/>
    <x v="4"/>
    <s v="7067"/>
  </r>
  <r>
    <x v="0"/>
    <x v="4"/>
    <s v="7068"/>
  </r>
  <r>
    <x v="0"/>
    <x v="4"/>
    <s v="7070"/>
  </r>
  <r>
    <x v="0"/>
    <x v="5"/>
    <s v="7081"/>
  </r>
  <r>
    <x v="0"/>
    <x v="5"/>
    <s v="7082"/>
  </r>
  <r>
    <x v="0"/>
    <x v="5"/>
    <s v="7083"/>
  </r>
  <r>
    <x v="0"/>
    <x v="5"/>
    <s v="7084"/>
  </r>
  <r>
    <x v="0"/>
    <x v="5"/>
    <s v="7085"/>
  </r>
  <r>
    <x v="0"/>
    <x v="5"/>
    <s v="7086"/>
  </r>
  <r>
    <x v="0"/>
    <x v="5"/>
    <s v="7087"/>
  </r>
  <r>
    <x v="0"/>
    <x v="5"/>
    <s v="7088"/>
  </r>
  <r>
    <x v="0"/>
    <x v="5"/>
    <s v="7089"/>
  </r>
  <r>
    <x v="0"/>
    <x v="5"/>
    <s v="7090"/>
  </r>
  <r>
    <x v="0"/>
    <x v="6"/>
    <s v="7102"/>
  </r>
  <r>
    <x v="0"/>
    <x v="6"/>
    <s v="7103"/>
  </r>
  <r>
    <x v="0"/>
    <x v="6"/>
    <s v="7104"/>
  </r>
  <r>
    <x v="0"/>
    <x v="6"/>
    <s v="7105"/>
  </r>
  <r>
    <x v="0"/>
    <x v="6"/>
    <s v="7106"/>
  </r>
  <r>
    <x v="0"/>
    <x v="6"/>
    <s v="7107"/>
  </r>
  <r>
    <x v="0"/>
    <x v="6"/>
    <s v="7108"/>
  </r>
  <r>
    <x v="0"/>
    <x v="6"/>
    <s v="7109"/>
  </r>
  <r>
    <x v="1"/>
    <x v="7"/>
    <s v="7110"/>
  </r>
  <r>
    <x v="1"/>
    <x v="7"/>
    <s v="7111"/>
  </r>
  <r>
    <x v="1"/>
    <x v="7"/>
    <s v="7112"/>
  </r>
  <r>
    <x v="1"/>
    <x v="7"/>
    <s v="7113"/>
  </r>
  <r>
    <x v="1"/>
    <x v="7"/>
    <s v="7114"/>
  </r>
  <r>
    <x v="1"/>
    <x v="7"/>
    <s v="7115"/>
  </r>
  <r>
    <x v="1"/>
    <x v="7"/>
    <s v="7116"/>
  </r>
  <r>
    <x v="1"/>
    <x v="7"/>
    <s v="7117"/>
  </r>
  <r>
    <x v="1"/>
    <x v="7"/>
    <s v="7118"/>
  </r>
  <r>
    <x v="1"/>
    <x v="8"/>
    <s v="7119"/>
  </r>
  <r>
    <x v="1"/>
    <x v="8"/>
    <s v="7120"/>
  </r>
  <r>
    <x v="1"/>
    <x v="8"/>
    <s v="7121"/>
  </r>
  <r>
    <x v="1"/>
    <x v="8"/>
    <s v="7122"/>
  </r>
  <r>
    <x v="1"/>
    <x v="8"/>
    <s v="7123"/>
  </r>
  <r>
    <x v="1"/>
    <x v="8"/>
    <s v="7124"/>
  </r>
  <r>
    <x v="1"/>
    <x v="9"/>
    <s v="7125"/>
  </r>
  <r>
    <x v="1"/>
    <x v="9"/>
    <s v="7126"/>
  </r>
  <r>
    <x v="1"/>
    <x v="9"/>
    <s v="7127"/>
  </r>
  <r>
    <x v="1"/>
    <x v="9"/>
    <s v="7128"/>
  </r>
  <r>
    <x v="1"/>
    <x v="9"/>
    <s v="7129"/>
  </r>
  <r>
    <x v="1"/>
    <x v="10"/>
    <s v="7130"/>
  </r>
  <r>
    <x v="1"/>
    <x v="10"/>
    <s v="7131"/>
  </r>
  <r>
    <x v="1"/>
    <x v="10"/>
    <s v="7132"/>
  </r>
  <r>
    <x v="1"/>
    <x v="10"/>
    <s v="7133"/>
  </r>
  <r>
    <x v="1"/>
    <x v="10"/>
    <s v="7134"/>
  </r>
  <r>
    <x v="1"/>
    <x v="10"/>
    <s v="7135"/>
  </r>
  <r>
    <x v="1"/>
    <x v="10"/>
    <s v="7136"/>
  </r>
  <r>
    <x v="1"/>
    <x v="11"/>
    <s v="7137"/>
  </r>
  <r>
    <x v="1"/>
    <x v="11"/>
    <s v="7138"/>
  </r>
  <r>
    <x v="1"/>
    <x v="11"/>
    <s v="7139"/>
  </r>
  <r>
    <x v="1"/>
    <x v="11"/>
    <s v="7140"/>
  </r>
  <r>
    <x v="1"/>
    <x v="11"/>
    <s v="7141"/>
  </r>
  <r>
    <x v="1"/>
    <x v="11"/>
    <s v="7142"/>
  </r>
  <r>
    <x v="1"/>
    <x v="11"/>
    <s v="7143"/>
  </r>
  <r>
    <x v="1"/>
    <x v="12"/>
    <s v="7144"/>
  </r>
  <r>
    <x v="1"/>
    <x v="12"/>
    <s v="7145"/>
  </r>
  <r>
    <x v="1"/>
    <x v="11"/>
    <s v="7146"/>
  </r>
  <r>
    <x v="1"/>
    <x v="12"/>
    <s v="7147"/>
  </r>
  <r>
    <x v="1"/>
    <x v="12"/>
    <s v="7148"/>
  </r>
  <r>
    <x v="1"/>
    <x v="12"/>
    <s v="7149"/>
  </r>
  <r>
    <x v="1"/>
    <x v="13"/>
    <s v="7150"/>
  </r>
  <r>
    <x v="1"/>
    <x v="13"/>
    <s v="7151"/>
  </r>
  <r>
    <x v="1"/>
    <x v="13"/>
    <s v="7152"/>
  </r>
  <r>
    <x v="1"/>
    <x v="13"/>
    <s v="7153"/>
  </r>
  <r>
    <x v="1"/>
    <x v="14"/>
    <s v="7154"/>
  </r>
  <r>
    <x v="1"/>
    <x v="12"/>
    <s v="7155"/>
  </r>
  <r>
    <x v="2"/>
    <x v="15"/>
    <s v="7156"/>
  </r>
  <r>
    <x v="2"/>
    <x v="15"/>
    <s v="7157"/>
  </r>
  <r>
    <x v="2"/>
    <x v="15"/>
    <s v="7158"/>
  </r>
  <r>
    <x v="2"/>
    <x v="15"/>
    <s v="7159"/>
  </r>
  <r>
    <x v="2"/>
    <x v="15"/>
    <s v="7160"/>
  </r>
  <r>
    <x v="1"/>
    <x v="13"/>
    <s v="7162"/>
  </r>
  <r>
    <x v="2"/>
    <x v="16"/>
    <s v="7163"/>
  </r>
  <r>
    <x v="2"/>
    <x v="16"/>
    <s v="7164"/>
  </r>
  <r>
    <x v="2"/>
    <x v="15"/>
    <s v="7166"/>
  </r>
  <r>
    <x v="2"/>
    <x v="15"/>
    <s v="7167"/>
  </r>
  <r>
    <x v="2"/>
    <x v="15"/>
    <s v="7169"/>
  </r>
  <r>
    <x v="2"/>
    <x v="15"/>
    <s v="7170"/>
  </r>
  <r>
    <x v="2"/>
    <x v="16"/>
    <s v="7171"/>
  </r>
  <r>
    <x v="2"/>
    <x v="16"/>
    <s v="7172"/>
  </r>
  <r>
    <x v="2"/>
    <x v="16"/>
    <s v="7173"/>
  </r>
  <r>
    <x v="2"/>
    <x v="16"/>
    <s v="7175"/>
  </r>
  <r>
    <x v="2"/>
    <x v="16"/>
    <s v="7177"/>
  </r>
  <r>
    <x v="2"/>
    <x v="16"/>
    <s v="7179"/>
  </r>
  <r>
    <x v="2"/>
    <x v="16"/>
    <s v="7181"/>
  </r>
  <r>
    <x v="1"/>
    <x v="13"/>
    <s v="7184"/>
  </r>
  <r>
    <x v="1"/>
    <x v="17"/>
    <s v="7185"/>
  </r>
  <r>
    <x v="1"/>
    <x v="14"/>
    <s v="7187"/>
  </r>
  <r>
    <x v="1"/>
    <x v="14"/>
    <s v="7188"/>
  </r>
  <r>
    <x v="1"/>
    <x v="14"/>
    <s v="7189"/>
  </r>
  <r>
    <x v="0"/>
    <x v="18"/>
    <s v="7190"/>
  </r>
  <r>
    <x v="0"/>
    <x v="18"/>
    <s v="7191"/>
  </r>
  <r>
    <x v="0"/>
    <x v="18"/>
    <s v="7192"/>
  </r>
  <r>
    <x v="0"/>
    <x v="18"/>
    <s v="7193"/>
  </r>
  <r>
    <x v="2"/>
    <x v="19"/>
    <s v="7194"/>
  </r>
  <r>
    <x v="2"/>
    <x v="19"/>
    <s v="7195"/>
  </r>
  <r>
    <x v="1"/>
    <x v="13"/>
    <s v="7196"/>
  </r>
  <r>
    <x v="2"/>
    <x v="15"/>
    <s v="7198"/>
  </r>
  <r>
    <x v="2"/>
    <x v="19"/>
    <s v="7199"/>
  </r>
  <r>
    <x v="2"/>
    <x v="19"/>
    <s v="7200"/>
  </r>
  <r>
    <x v="2"/>
    <x v="19"/>
    <s v="7201"/>
  </r>
  <r>
    <x v="2"/>
    <x v="19"/>
    <s v="7202"/>
  </r>
  <r>
    <x v="2"/>
    <x v="19"/>
    <s v="7203"/>
  </r>
  <r>
    <x v="2"/>
    <x v="19"/>
    <s v="7204"/>
  </r>
  <r>
    <x v="2"/>
    <x v="20"/>
    <s v="7206"/>
  </r>
  <r>
    <x v="2"/>
    <x v="20"/>
    <s v="7207"/>
  </r>
  <r>
    <x v="2"/>
    <x v="16"/>
    <s v="7208"/>
  </r>
  <r>
    <x v="2"/>
    <x v="16"/>
    <s v="7209"/>
  </r>
  <r>
    <x v="2"/>
    <x v="15"/>
    <s v="7210"/>
  </r>
  <r>
    <x v="2"/>
    <x v="15"/>
    <s v="7211"/>
  </r>
  <r>
    <x v="2"/>
    <x v="20"/>
    <s v="7214"/>
  </r>
  <r>
    <x v="2"/>
    <x v="20"/>
    <s v="7216"/>
  </r>
  <r>
    <x v="2"/>
    <x v="20"/>
    <s v="7218"/>
  </r>
  <r>
    <x v="2"/>
    <x v="21"/>
    <s v="7219"/>
  </r>
  <r>
    <x v="2"/>
    <x v="21"/>
    <s v="7220"/>
  </r>
  <r>
    <x v="2"/>
    <x v="21"/>
    <s v="7221"/>
  </r>
  <r>
    <x v="2"/>
    <x v="21"/>
    <s v="7223"/>
  </r>
  <r>
    <x v="2"/>
    <x v="21"/>
    <s v="7225"/>
  </r>
  <r>
    <x v="2"/>
    <x v="21"/>
    <s v="7226"/>
  </r>
  <r>
    <x v="2"/>
    <x v="22"/>
    <s v="7227"/>
  </r>
  <r>
    <x v="2"/>
    <x v="23"/>
    <s v="7233"/>
  </r>
  <r>
    <x v="2"/>
    <x v="21"/>
    <s v="7234"/>
  </r>
  <r>
    <x v="2"/>
    <x v="21"/>
    <s v="7235"/>
  </r>
  <r>
    <x v="2"/>
    <x v="21"/>
    <s v="7238"/>
  </r>
  <r>
    <x v="2"/>
    <x v="21"/>
    <s v="7239"/>
  </r>
  <r>
    <x v="2"/>
    <x v="22"/>
    <s v="7245"/>
  </r>
  <r>
    <x v="2"/>
    <x v="24"/>
    <s v="7246"/>
  </r>
  <r>
    <x v="2"/>
    <x v="25"/>
    <s v="7255"/>
  </r>
  <r>
    <x v="2"/>
    <x v="21"/>
    <s v="7257"/>
  </r>
  <r>
    <x v="2"/>
    <x v="25"/>
    <s v="7258"/>
  </r>
  <r>
    <x v="2"/>
    <x v="25"/>
    <s v="7259"/>
  </r>
  <r>
    <x v="2"/>
    <x v="25"/>
    <s v="7260"/>
  </r>
  <r>
    <x v="2"/>
    <x v="25"/>
    <s v="7261"/>
  </r>
  <r>
    <x v="2"/>
    <x v="25"/>
    <s v="7262"/>
  </r>
  <r>
    <x v="2"/>
    <x v="25"/>
    <s v="7263"/>
  </r>
  <r>
    <x v="2"/>
    <x v="25"/>
    <s v="7264"/>
  </r>
  <r>
    <x v="2"/>
    <x v="25"/>
    <s v="7265"/>
  </r>
  <r>
    <x v="2"/>
    <x v="25"/>
    <s v="7266"/>
  </r>
  <r>
    <x v="2"/>
    <x v="25"/>
    <s v="7267"/>
  </r>
  <r>
    <x v="2"/>
    <x v="21"/>
    <s v="7268"/>
  </r>
  <r>
    <x v="2"/>
    <x v="21"/>
    <s v="7269"/>
  </r>
  <r>
    <x v="2"/>
    <x v="21"/>
    <s v="7270"/>
  </r>
  <r>
    <x v="2"/>
    <x v="21"/>
    <s v="7271"/>
  </r>
  <r>
    <x v="2"/>
    <x v="21"/>
    <s v="7272"/>
  </r>
  <r>
    <x v="2"/>
    <x v="21"/>
    <s v="7273"/>
  </r>
  <r>
    <x v="2"/>
    <x v="24"/>
    <s v="7274"/>
  </r>
  <r>
    <x v="2"/>
    <x v="24"/>
    <s v="7275"/>
  </r>
  <r>
    <x v="2"/>
    <x v="24"/>
    <s v="7278"/>
  </r>
  <r>
    <x v="2"/>
    <x v="24"/>
    <s v="7279"/>
  </r>
  <r>
    <x v="2"/>
    <x v="24"/>
    <s v="7280"/>
  </r>
  <r>
    <x v="2"/>
    <x v="24"/>
    <s v="7281"/>
  </r>
  <r>
    <x v="2"/>
    <x v="24"/>
    <s v="7284"/>
  </r>
  <r>
    <x v="2"/>
    <x v="24"/>
    <s v="7286"/>
  </r>
  <r>
    <x v="2"/>
    <x v="24"/>
    <s v="7288"/>
  </r>
  <r>
    <x v="2"/>
    <x v="24"/>
    <s v="7289"/>
  </r>
  <r>
    <x v="2"/>
    <x v="24"/>
    <s v="7294"/>
  </r>
  <r>
    <x v="2"/>
    <x v="24"/>
    <s v="7295"/>
  </r>
  <r>
    <x v="2"/>
    <x v="24"/>
    <s v="7299"/>
  </r>
  <r>
    <x v="2"/>
    <x v="24"/>
    <s v="7300"/>
  </r>
  <r>
    <x v="2"/>
    <x v="26"/>
    <s v="7304"/>
  </r>
  <r>
    <x v="2"/>
    <x v="26"/>
    <s v="7305"/>
  </r>
  <r>
    <x v="2"/>
    <x v="26"/>
    <s v="7306"/>
  </r>
  <r>
    <x v="2"/>
    <x v="23"/>
    <s v="7308"/>
  </r>
  <r>
    <x v="2"/>
    <x v="23"/>
    <s v="7310"/>
  </r>
  <r>
    <x v="2"/>
    <x v="23"/>
    <s v="7314"/>
  </r>
  <r>
    <x v="2"/>
    <x v="23"/>
    <s v="7316"/>
  </r>
  <r>
    <x v="2"/>
    <x v="23"/>
    <s v="7324"/>
  </r>
  <r>
    <x v="2"/>
    <x v="23"/>
    <s v="7325"/>
  </r>
  <r>
    <x v="2"/>
    <x v="23"/>
    <s v="7326"/>
  </r>
  <r>
    <x v="2"/>
    <x v="23"/>
    <s v="7327"/>
  </r>
  <r>
    <x v="2"/>
    <x v="26"/>
    <s v="7333"/>
  </r>
  <r>
    <x v="2"/>
    <x v="26"/>
    <s v="7334"/>
  </r>
  <r>
    <x v="2"/>
    <x v="26"/>
    <s v="7336"/>
  </r>
  <r>
    <x v="2"/>
    <x v="22"/>
    <s v="7338"/>
  </r>
  <r>
    <x v="2"/>
    <x v="22"/>
    <s v="7341"/>
  </r>
  <r>
    <x v="2"/>
    <x v="22"/>
    <s v="7342"/>
  </r>
  <r>
    <x v="2"/>
    <x v="22"/>
    <s v="7343"/>
  </r>
  <r>
    <x v="2"/>
    <x v="23"/>
    <s v="7345"/>
  </r>
  <r>
    <x v="2"/>
    <x v="23"/>
    <s v="7347"/>
  </r>
  <r>
    <x v="2"/>
    <x v="23"/>
    <s v="7348"/>
  </r>
  <r>
    <x v="2"/>
    <x v="23"/>
    <s v="7349"/>
  </r>
  <r>
    <x v="2"/>
    <x v="23"/>
    <s v="7350"/>
  </r>
  <r>
    <x v="2"/>
    <x v="23"/>
    <s v="7351"/>
  </r>
  <r>
    <x v="2"/>
    <x v="23"/>
    <s v="7352"/>
  </r>
  <r>
    <x v="2"/>
    <x v="23"/>
    <s v="7353"/>
  </r>
  <r>
    <x v="2"/>
    <x v="23"/>
    <s v="7357"/>
  </r>
  <r>
    <x v="2"/>
    <x v="23"/>
    <s v="7359"/>
  </r>
  <r>
    <x v="2"/>
    <x v="23"/>
    <s v="7360"/>
  </r>
  <r>
    <x v="2"/>
    <x v="23"/>
    <s v="7362"/>
  </r>
  <r>
    <x v="2"/>
    <x v="22"/>
    <s v="7363"/>
  </r>
  <r>
    <x v="2"/>
    <x v="22"/>
    <s v="7364"/>
  </r>
  <r>
    <x v="2"/>
    <x v="22"/>
    <s v="7367"/>
  </r>
  <r>
    <x v="2"/>
    <x v="22"/>
    <s v="7369"/>
  </r>
  <r>
    <x v="2"/>
    <x v="22"/>
    <s v="7370"/>
  </r>
  <r>
    <x v="2"/>
    <x v="22"/>
    <s v="7371"/>
  </r>
  <r>
    <x v="2"/>
    <x v="22"/>
    <s v="7373"/>
  </r>
  <r>
    <x v="2"/>
    <x v="27"/>
    <s v="7375"/>
  </r>
  <r>
    <x v="2"/>
    <x v="22"/>
    <s v="7376"/>
  </r>
  <r>
    <x v="2"/>
    <x v="27"/>
    <s v="7377"/>
  </r>
  <r>
    <x v="2"/>
    <x v="22"/>
    <s v="7378"/>
  </r>
  <r>
    <x v="2"/>
    <x v="27"/>
    <s v="7379"/>
  </r>
  <r>
    <x v="2"/>
    <x v="27"/>
    <s v="7380"/>
  </r>
  <r>
    <x v="2"/>
    <x v="27"/>
    <s v="7381"/>
  </r>
  <r>
    <x v="2"/>
    <x v="22"/>
    <s v="7383"/>
  </r>
  <r>
    <x v="2"/>
    <x v="22"/>
    <s v="7384"/>
  </r>
  <r>
    <x v="2"/>
    <x v="22"/>
    <s v="7386"/>
  </r>
  <r>
    <x v="2"/>
    <x v="22"/>
    <s v="7387"/>
  </r>
  <r>
    <x v="2"/>
    <x v="22"/>
    <s v="7388"/>
  </r>
  <r>
    <x v="2"/>
    <x v="22"/>
    <s v="7390"/>
  </r>
  <r>
    <x v="2"/>
    <x v="22"/>
    <s v="7391"/>
  </r>
  <r>
    <x v="1"/>
    <x v="28"/>
    <s v="7392"/>
  </r>
  <r>
    <x v="1"/>
    <x v="28"/>
    <s v="7393"/>
  </r>
  <r>
    <x v="1"/>
    <x v="28"/>
    <s v="7394"/>
  </r>
  <r>
    <x v="1"/>
    <x v="28"/>
    <s v="7395"/>
  </r>
  <r>
    <x v="1"/>
    <x v="28"/>
    <s v="7399"/>
  </r>
  <r>
    <x v="1"/>
    <x v="28"/>
    <s v="7400"/>
  </r>
  <r>
    <x v="1"/>
    <x v="29"/>
    <s v="7401"/>
  </r>
  <r>
    <x v="1"/>
    <x v="29"/>
    <s v="7403"/>
  </r>
  <r>
    <x v="1"/>
    <x v="29"/>
    <s v="7405"/>
  </r>
  <r>
    <x v="1"/>
    <x v="28"/>
    <s v="7407"/>
  </r>
  <r>
    <x v="1"/>
    <x v="28"/>
    <s v="7408"/>
  </r>
  <r>
    <x v="1"/>
    <x v="17"/>
    <s v="7409"/>
  </r>
  <r>
    <x v="1"/>
    <x v="17"/>
    <s v="7410"/>
  </r>
  <r>
    <x v="1"/>
    <x v="17"/>
    <s v="7412"/>
  </r>
  <r>
    <x v="1"/>
    <x v="14"/>
    <s v="7414"/>
  </r>
  <r>
    <x v="1"/>
    <x v="29"/>
    <s v="7415"/>
  </r>
  <r>
    <x v="1"/>
    <x v="29"/>
    <s v="7416"/>
  </r>
  <r>
    <x v="1"/>
    <x v="29"/>
    <s v="7417"/>
  </r>
  <r>
    <x v="1"/>
    <x v="17"/>
    <s v="7418"/>
  </r>
  <r>
    <x v="1"/>
    <x v="17"/>
    <s v="7419"/>
  </r>
  <r>
    <x v="1"/>
    <x v="17"/>
    <s v="7420"/>
  </r>
  <r>
    <x v="1"/>
    <x v="17"/>
    <s v="7421"/>
  </r>
  <r>
    <x v="1"/>
    <x v="29"/>
    <s v="7422"/>
  </r>
  <r>
    <x v="1"/>
    <x v="17"/>
    <s v="7423"/>
  </r>
  <r>
    <x v="1"/>
    <x v="29"/>
    <s v="7425"/>
  </r>
  <r>
    <x v="1"/>
    <x v="17"/>
    <s v="7427"/>
  </r>
  <r>
    <x v="1"/>
    <x v="28"/>
    <s v="7428"/>
  </r>
  <r>
    <x v="1"/>
    <x v="29"/>
    <s v="7429"/>
  </r>
  <r>
    <x v="1"/>
    <x v="28"/>
    <s v="7430"/>
  </r>
  <r>
    <x v="1"/>
    <x v="28"/>
    <s v="7431"/>
  </r>
  <r>
    <x v="1"/>
    <x v="28"/>
    <s v="7432"/>
  </r>
  <r>
    <x v="1"/>
    <x v="28"/>
    <s v="7433"/>
  </r>
  <r>
    <x v="1"/>
    <x v="28"/>
    <s v="7434"/>
  </r>
  <r>
    <x v="1"/>
    <x v="29"/>
    <s v="7436"/>
  </r>
  <r>
    <x v="1"/>
    <x v="30"/>
    <s v="7437"/>
  </r>
  <r>
    <x v="1"/>
    <x v="30"/>
    <s v="7438"/>
  </r>
  <r>
    <x v="1"/>
    <x v="30"/>
    <s v="7439"/>
  </r>
  <r>
    <x v="1"/>
    <x v="30"/>
    <s v="7440"/>
  </r>
  <r>
    <x v="1"/>
    <x v="30"/>
    <s v="7441"/>
  </r>
  <r>
    <x v="1"/>
    <x v="30"/>
    <s v="7442"/>
  </r>
  <r>
    <x v="1"/>
    <x v="30"/>
    <s v="7443"/>
  </r>
  <r>
    <x v="1"/>
    <x v="31"/>
    <s v="7446"/>
  </r>
  <r>
    <x v="1"/>
    <x v="9"/>
    <s v="7448"/>
  </r>
  <r>
    <x v="1"/>
    <x v="29"/>
    <s v="7449"/>
  </r>
  <r>
    <x v="1"/>
    <x v="29"/>
    <s v="7450"/>
  </r>
  <r>
    <x v="1"/>
    <x v="31"/>
    <s v="7451"/>
  </r>
  <r>
    <x v="1"/>
    <x v="31"/>
    <s v="7452"/>
  </r>
  <r>
    <x v="1"/>
    <x v="17"/>
    <s v="7453"/>
  </r>
  <r>
    <x v="1"/>
    <x v="17"/>
    <s v="7455"/>
  </r>
  <r>
    <x v="1"/>
    <x v="17"/>
    <s v="7456"/>
  </r>
  <r>
    <x v="1"/>
    <x v="17"/>
    <s v="7458"/>
  </r>
  <r>
    <x v="1"/>
    <x v="17"/>
    <s v="7460"/>
  </r>
  <r>
    <x v="2"/>
    <x v="26"/>
    <s v="7463"/>
  </r>
  <r>
    <x v="2"/>
    <x v="32"/>
    <s v="7466"/>
  </r>
  <r>
    <x v="1"/>
    <x v="29"/>
    <s v="7467"/>
  </r>
  <r>
    <x v="2"/>
    <x v="32"/>
    <s v="7468"/>
  </r>
  <r>
    <x v="2"/>
    <x v="32"/>
    <s v="7469"/>
  </r>
  <r>
    <x v="2"/>
    <x v="32"/>
    <s v="7470"/>
  </r>
  <r>
    <x v="2"/>
    <x v="32"/>
    <s v="7471"/>
  </r>
  <r>
    <x v="2"/>
    <x v="26"/>
    <s v="7472"/>
  </r>
  <r>
    <x v="2"/>
    <x v="26"/>
    <s v="7473"/>
  </r>
  <r>
    <x v="2"/>
    <x v="32"/>
    <s v="7474"/>
  </r>
  <r>
    <x v="2"/>
    <x v="32"/>
    <s v="7476"/>
  </r>
  <r>
    <x v="2"/>
    <x v="32"/>
    <s v="7477"/>
  </r>
  <r>
    <x v="2"/>
    <x v="32"/>
    <s v="7480"/>
  </r>
  <r>
    <x v="2"/>
    <x v="32"/>
    <s v="7481"/>
  </r>
  <r>
    <x v="2"/>
    <x v="32"/>
    <s v="7483"/>
  </r>
  <r>
    <x v="2"/>
    <x v="32"/>
    <s v="7485"/>
  </r>
  <r>
    <x v="2"/>
    <x v="32"/>
    <s v="7489"/>
  </r>
  <r>
    <x v="2"/>
    <x v="32"/>
    <s v="7490"/>
  </r>
  <r>
    <x v="2"/>
    <x v="32"/>
    <s v="7491"/>
  </r>
  <r>
    <x v="2"/>
    <x v="20"/>
    <s v="7492"/>
  </r>
  <r>
    <x v="2"/>
    <x v="27"/>
    <s v="7493"/>
  </r>
  <r>
    <x v="2"/>
    <x v="27"/>
    <s v="7494"/>
  </r>
  <r>
    <x v="2"/>
    <x v="27"/>
    <s v="7495"/>
  </r>
  <r>
    <x v="2"/>
    <x v="27"/>
    <s v="7497"/>
  </r>
  <r>
    <x v="2"/>
    <x v="27"/>
    <s v="7498"/>
  </r>
  <r>
    <x v="2"/>
    <x v="26"/>
    <s v="7499"/>
  </r>
  <r>
    <x v="2"/>
    <x v="26"/>
    <s v="7500"/>
  </r>
  <r>
    <x v="2"/>
    <x v="26"/>
    <s v="7502"/>
  </r>
  <r>
    <x v="2"/>
    <x v="26"/>
    <s v="7504"/>
  </r>
  <r>
    <x v="2"/>
    <x v="26"/>
    <s v="7506"/>
  </r>
  <r>
    <x v="2"/>
    <x v="26"/>
    <s v="7510"/>
  </r>
  <r>
    <x v="2"/>
    <x v="26"/>
    <s v="7511"/>
  </r>
  <r>
    <x v="2"/>
    <x v="26"/>
    <s v="7515"/>
  </r>
  <r>
    <x v="2"/>
    <x v="26"/>
    <s v="7516"/>
  </r>
  <r>
    <x v="2"/>
    <x v="26"/>
    <s v="7517"/>
  </r>
  <r>
    <x v="2"/>
    <x v="26"/>
    <s v="7518"/>
  </r>
  <r>
    <x v="2"/>
    <x v="32"/>
    <s v="7521"/>
  </r>
  <r>
    <x v="2"/>
    <x v="27"/>
    <s v="7522"/>
  </r>
  <r>
    <x v="2"/>
    <x v="27"/>
    <s v="7523"/>
  </r>
  <r>
    <x v="2"/>
    <x v="27"/>
    <s v="7525"/>
  </r>
  <r>
    <x v="2"/>
    <x v="27"/>
    <s v="7526"/>
  </r>
  <r>
    <x v="2"/>
    <x v="27"/>
    <s v="7527"/>
  </r>
  <r>
    <x v="2"/>
    <x v="27"/>
    <s v="7528"/>
  </r>
  <r>
    <x v="2"/>
    <x v="27"/>
    <s v="7530"/>
  </r>
  <r>
    <x v="2"/>
    <x v="27"/>
    <s v="7532"/>
  </r>
  <r>
    <x v="2"/>
    <x v="27"/>
    <s v="7534"/>
  </r>
  <r>
    <x v="2"/>
    <x v="20"/>
    <s v="7536"/>
  </r>
  <r>
    <x v="2"/>
    <x v="20"/>
    <s v="7537"/>
  </r>
  <r>
    <x v="2"/>
    <x v="20"/>
    <s v="7539"/>
  </r>
  <r>
    <x v="2"/>
    <x v="20"/>
    <s v="7540"/>
  </r>
  <r>
    <x v="2"/>
    <x v="20"/>
    <s v="7541"/>
  </r>
  <r>
    <x v="2"/>
    <x v="27"/>
    <s v="7544"/>
  </r>
  <r>
    <x v="2"/>
    <x v="27"/>
    <s v="7545"/>
  </r>
  <r>
    <x v="2"/>
    <x v="27"/>
    <s v="7546"/>
  </r>
  <r>
    <x v="2"/>
    <x v="27"/>
    <s v="7547"/>
  </r>
  <r>
    <x v="2"/>
    <x v="27"/>
    <s v="7548"/>
  </r>
  <r>
    <x v="2"/>
    <x v="27"/>
    <s v="7550"/>
  </r>
  <r>
    <x v="0"/>
    <x v="33"/>
    <s v="7552"/>
  </r>
  <r>
    <x v="0"/>
    <x v="33"/>
    <s v="7553"/>
  </r>
  <r>
    <x v="0"/>
    <x v="33"/>
    <s v="7554"/>
  </r>
  <r>
    <x v="0"/>
    <x v="33"/>
    <s v="7555"/>
  </r>
  <r>
    <x v="0"/>
    <x v="33"/>
    <s v="7556"/>
  </r>
  <r>
    <x v="0"/>
    <x v="33"/>
    <s v="7557"/>
  </r>
  <r>
    <x v="0"/>
    <x v="33"/>
    <s v="7559"/>
  </r>
  <r>
    <x v="0"/>
    <x v="33"/>
    <s v="7560"/>
  </r>
  <r>
    <x v="0"/>
    <x v="33"/>
    <s v="7561"/>
  </r>
  <r>
    <x v="0"/>
    <x v="33"/>
    <s v="7563"/>
  </r>
  <r>
    <x v="0"/>
    <x v="33"/>
    <s v="7564"/>
  </r>
  <r>
    <x v="0"/>
    <x v="33"/>
    <s v="7565"/>
  </r>
  <r>
    <x v="0"/>
    <x v="33"/>
    <s v="7567"/>
  </r>
  <r>
    <x v="0"/>
    <x v="33"/>
    <s v="7568"/>
  </r>
  <r>
    <x v="0"/>
    <x v="33"/>
    <s v="7569"/>
  </r>
  <r>
    <x v="0"/>
    <x v="33"/>
    <s v="7570"/>
  </r>
  <r>
    <x v="0"/>
    <x v="33"/>
    <s v="7571"/>
  </r>
  <r>
    <x v="0"/>
    <x v="33"/>
    <s v="7572"/>
  </r>
  <r>
    <x v="3"/>
    <x v="34"/>
    <s v="7575"/>
  </r>
  <r>
    <x v="3"/>
    <x v="34"/>
    <s v="7577"/>
  </r>
  <r>
    <x v="3"/>
    <x v="34"/>
    <s v="7578"/>
  </r>
  <r>
    <x v="3"/>
    <x v="34"/>
    <s v="7579"/>
  </r>
  <r>
    <x v="3"/>
    <x v="34"/>
    <s v="7580"/>
  </r>
  <r>
    <x v="3"/>
    <x v="34"/>
    <s v="7581"/>
  </r>
  <r>
    <x v="3"/>
    <x v="34"/>
    <s v="7583"/>
  </r>
  <r>
    <x v="3"/>
    <x v="34"/>
    <s v="7585"/>
  </r>
  <r>
    <x v="3"/>
    <x v="34"/>
    <s v="7587"/>
  </r>
  <r>
    <x v="3"/>
    <x v="34"/>
    <s v="7589"/>
  </r>
  <r>
    <x v="3"/>
    <x v="34"/>
    <s v="7590"/>
  </r>
  <r>
    <x v="3"/>
    <x v="34"/>
    <s v="7591"/>
  </r>
  <r>
    <x v="3"/>
    <x v="35"/>
    <s v="7594"/>
  </r>
  <r>
    <x v="3"/>
    <x v="35"/>
    <s v="7596"/>
  </r>
  <r>
    <x v="3"/>
    <x v="35"/>
    <s v="7599"/>
  </r>
  <r>
    <x v="3"/>
    <x v="34"/>
    <s v="7607"/>
  </r>
  <r>
    <x v="3"/>
    <x v="34"/>
    <s v="7608"/>
  </r>
  <r>
    <x v="3"/>
    <x v="34"/>
    <s v="7611"/>
  </r>
  <r>
    <x v="3"/>
    <x v="34"/>
    <s v="7613"/>
  </r>
  <r>
    <x v="3"/>
    <x v="36"/>
    <s v="7626"/>
  </r>
  <r>
    <x v="3"/>
    <x v="36"/>
    <s v="7629"/>
  </r>
  <r>
    <x v="3"/>
    <x v="36"/>
    <s v="7632"/>
  </r>
  <r>
    <x v="3"/>
    <x v="36"/>
    <s v="7634"/>
  </r>
  <r>
    <x v="3"/>
    <x v="37"/>
    <s v="7639"/>
  </r>
  <r>
    <x v="3"/>
    <x v="36"/>
    <s v="7640"/>
  </r>
  <r>
    <x v="3"/>
    <x v="36"/>
    <s v="7641"/>
  </r>
  <r>
    <x v="3"/>
    <x v="35"/>
    <s v="7642"/>
  </r>
  <r>
    <x v="3"/>
    <x v="37"/>
    <s v="7646"/>
  </r>
  <r>
    <x v="3"/>
    <x v="37"/>
    <s v="7648"/>
  </r>
  <r>
    <x v="3"/>
    <x v="37"/>
    <s v="7649"/>
  </r>
  <r>
    <x v="3"/>
    <x v="37"/>
    <s v="7650"/>
  </r>
  <r>
    <x v="3"/>
    <x v="37"/>
    <s v="7659"/>
  </r>
  <r>
    <x v="3"/>
    <x v="37"/>
    <s v="7663"/>
  </r>
  <r>
    <x v="3"/>
    <x v="37"/>
    <s v="7664"/>
  </r>
  <r>
    <x v="3"/>
    <x v="37"/>
    <s v="7665"/>
  </r>
  <r>
    <x v="3"/>
    <x v="37"/>
    <s v="7666"/>
  </r>
  <r>
    <x v="3"/>
    <x v="36"/>
    <s v="7667"/>
  </r>
  <r>
    <x v="3"/>
    <x v="36"/>
    <s v="7668"/>
  </r>
  <r>
    <x v="3"/>
    <x v="37"/>
    <s v="7669"/>
  </r>
  <r>
    <x v="3"/>
    <x v="36"/>
    <s v="7670"/>
  </r>
  <r>
    <x v="3"/>
    <x v="36"/>
    <s v="7672"/>
  </r>
  <r>
    <x v="3"/>
    <x v="36"/>
    <s v="7674"/>
  </r>
  <r>
    <x v="4"/>
    <x v="38"/>
    <s v="7675"/>
  </r>
  <r>
    <x v="4"/>
    <x v="38"/>
    <s v="7676"/>
  </r>
  <r>
    <x v="4"/>
    <x v="38"/>
    <s v="7677"/>
  </r>
  <r>
    <x v="4"/>
    <x v="38"/>
    <s v="7678"/>
  </r>
  <r>
    <x v="4"/>
    <x v="38"/>
    <s v="7679"/>
  </r>
  <r>
    <x v="4"/>
    <x v="38"/>
    <s v="7680"/>
  </r>
  <r>
    <x v="4"/>
    <x v="38"/>
    <s v="7681"/>
  </r>
  <r>
    <x v="4"/>
    <x v="38"/>
    <s v="7682"/>
  </r>
  <r>
    <x v="4"/>
    <x v="38"/>
    <s v="7684"/>
  </r>
  <r>
    <x v="4"/>
    <x v="38"/>
    <s v="7686"/>
  </r>
  <r>
    <x v="4"/>
    <x v="39"/>
    <s v="7688"/>
  </r>
  <r>
    <x v="4"/>
    <x v="38"/>
    <s v="7689"/>
  </r>
  <r>
    <x v="4"/>
    <x v="38"/>
    <s v="7690"/>
  </r>
  <r>
    <x v="4"/>
    <x v="38"/>
    <s v="7692"/>
  </r>
  <r>
    <x v="4"/>
    <x v="38"/>
    <s v="7693"/>
  </r>
  <r>
    <x v="4"/>
    <x v="40"/>
    <s v="7694"/>
  </r>
  <r>
    <x v="4"/>
    <x v="41"/>
    <s v="7695"/>
  </r>
  <r>
    <x v="4"/>
    <x v="41"/>
    <s v="7696"/>
  </r>
  <r>
    <x v="4"/>
    <x v="41"/>
    <s v="7697"/>
  </r>
  <r>
    <x v="4"/>
    <x v="38"/>
    <s v="7699"/>
  </r>
  <r>
    <x v="4"/>
    <x v="40"/>
    <s v="7705"/>
  </r>
  <r>
    <x v="4"/>
    <x v="40"/>
    <s v="7706"/>
  </r>
  <r>
    <x v="4"/>
    <x v="40"/>
    <s v="7709"/>
  </r>
  <r>
    <x v="4"/>
    <x v="40"/>
    <s v="7712"/>
  </r>
  <r>
    <x v="4"/>
    <x v="40"/>
    <s v="7714"/>
  </r>
  <r>
    <x v="4"/>
    <x v="38"/>
    <s v="7719"/>
  </r>
  <r>
    <x v="4"/>
    <x v="38"/>
    <s v="7723"/>
  </r>
  <r>
    <x v="4"/>
    <x v="42"/>
    <s v="7724"/>
  </r>
  <r>
    <x v="4"/>
    <x v="42"/>
    <s v="7725"/>
  </r>
  <r>
    <x v="4"/>
    <x v="42"/>
    <s v="7727"/>
  </r>
  <r>
    <x v="4"/>
    <x v="42"/>
    <s v="7732"/>
  </r>
  <r>
    <x v="4"/>
    <x v="42"/>
    <s v="7733"/>
  </r>
  <r>
    <x v="4"/>
    <x v="42"/>
    <s v="7734"/>
  </r>
  <r>
    <x v="4"/>
    <x v="42"/>
    <s v="7735"/>
  </r>
  <r>
    <x v="4"/>
    <x v="42"/>
    <s v="7736"/>
  </r>
  <r>
    <x v="4"/>
    <x v="39"/>
    <s v="7737"/>
  </r>
  <r>
    <x v="4"/>
    <x v="39"/>
    <s v="7738"/>
  </r>
  <r>
    <x v="4"/>
    <x v="39"/>
    <s v="7740"/>
  </r>
  <r>
    <x v="4"/>
    <x v="40"/>
    <s v="7741"/>
  </r>
  <r>
    <x v="4"/>
    <x v="40"/>
    <s v="7742"/>
  </r>
  <r>
    <x v="4"/>
    <x v="40"/>
    <s v="7745"/>
  </r>
  <r>
    <x v="4"/>
    <x v="41"/>
    <s v="7746"/>
  </r>
  <r>
    <x v="4"/>
    <x v="41"/>
    <s v="7747"/>
  </r>
  <r>
    <x v="4"/>
    <x v="39"/>
    <s v="7748"/>
  </r>
  <r>
    <x v="4"/>
    <x v="39"/>
    <s v="7750"/>
  </r>
  <r>
    <x v="4"/>
    <x v="41"/>
    <s v="7752"/>
  </r>
  <r>
    <x v="4"/>
    <x v="41"/>
    <s v="7754"/>
  </r>
  <r>
    <x v="4"/>
    <x v="41"/>
    <s v="7755"/>
  </r>
  <r>
    <x v="4"/>
    <x v="41"/>
    <s v="7758"/>
  </r>
  <r>
    <x v="4"/>
    <x v="41"/>
    <s v="7760"/>
  </r>
  <r>
    <x v="4"/>
    <x v="41"/>
    <s v="7762"/>
  </r>
  <r>
    <x v="4"/>
    <x v="41"/>
    <s v="7763"/>
  </r>
  <r>
    <x v="4"/>
    <x v="41"/>
    <s v="7764"/>
  </r>
  <r>
    <x v="4"/>
    <x v="41"/>
    <s v="7765"/>
  </r>
  <r>
    <x v="4"/>
    <x v="39"/>
    <s v="7766"/>
  </r>
  <r>
    <x v="4"/>
    <x v="39"/>
    <s v="7767"/>
  </r>
  <r>
    <x v="4"/>
    <x v="39"/>
    <s v="7768"/>
  </r>
  <r>
    <x v="4"/>
    <x v="42"/>
    <s v="7770"/>
  </r>
  <r>
    <x v="4"/>
    <x v="38"/>
    <s v="7772"/>
  </r>
  <r>
    <x v="4"/>
    <x v="43"/>
    <s v="7774"/>
  </r>
  <r>
    <x v="4"/>
    <x v="43"/>
    <s v="7775"/>
  </r>
  <r>
    <x v="4"/>
    <x v="43"/>
    <s v="7776"/>
  </r>
  <r>
    <x v="4"/>
    <x v="43"/>
    <s v="7777"/>
  </r>
  <r>
    <x v="4"/>
    <x v="43"/>
    <s v="7778"/>
  </r>
  <r>
    <x v="4"/>
    <x v="43"/>
    <s v="7779"/>
  </r>
  <r>
    <x v="4"/>
    <x v="43"/>
    <s v="7780"/>
  </r>
  <r>
    <x v="4"/>
    <x v="43"/>
    <s v="7781"/>
  </r>
  <r>
    <x v="4"/>
    <x v="43"/>
    <s v="7782"/>
  </r>
  <r>
    <x v="4"/>
    <x v="43"/>
    <s v="7783"/>
  </r>
  <r>
    <x v="4"/>
    <x v="44"/>
    <s v="7784"/>
  </r>
  <r>
    <x v="4"/>
    <x v="44"/>
    <s v="7785"/>
  </r>
  <r>
    <x v="4"/>
    <x v="44"/>
    <s v="7786"/>
  </r>
  <r>
    <x v="4"/>
    <x v="44"/>
    <s v="7787"/>
  </r>
  <r>
    <x v="4"/>
    <x v="44"/>
    <s v="7788"/>
  </r>
  <r>
    <x v="4"/>
    <x v="44"/>
    <s v="7789"/>
  </r>
  <r>
    <x v="4"/>
    <x v="44"/>
    <s v="7791"/>
  </r>
  <r>
    <x v="4"/>
    <x v="44"/>
    <s v="7792"/>
  </r>
  <r>
    <x v="4"/>
    <x v="45"/>
    <s v="7793"/>
  </r>
  <r>
    <x v="4"/>
    <x v="45"/>
    <s v="7794"/>
  </r>
  <r>
    <x v="4"/>
    <x v="45"/>
    <s v="7795"/>
  </r>
  <r>
    <x v="4"/>
    <x v="45"/>
    <s v="7796"/>
  </r>
  <r>
    <x v="4"/>
    <x v="42"/>
    <s v="7798"/>
  </r>
  <r>
    <x v="4"/>
    <x v="42"/>
    <s v="7800"/>
  </r>
  <r>
    <x v="4"/>
    <x v="45"/>
    <s v="7801"/>
  </r>
  <r>
    <x v="4"/>
    <x v="45"/>
    <s v="7802"/>
  </r>
  <r>
    <x v="4"/>
    <x v="45"/>
    <s v="7803"/>
  </r>
  <r>
    <x v="4"/>
    <x v="45"/>
    <s v="7806"/>
  </r>
  <r>
    <x v="4"/>
    <x v="45"/>
    <s v="7807"/>
  </r>
  <r>
    <x v="4"/>
    <x v="46"/>
    <s v="7810"/>
  </r>
  <r>
    <x v="4"/>
    <x v="45"/>
    <s v="7811"/>
  </r>
  <r>
    <x v="4"/>
    <x v="45"/>
    <s v="7812"/>
  </r>
  <r>
    <x v="4"/>
    <x v="45"/>
    <s v="7813"/>
  </r>
  <r>
    <x v="4"/>
    <x v="45"/>
    <s v="7814"/>
  </r>
  <r>
    <x v="4"/>
    <x v="45"/>
    <s v="7817"/>
  </r>
  <r>
    <x v="4"/>
    <x v="45"/>
    <s v="7818"/>
  </r>
  <r>
    <x v="4"/>
    <x v="45"/>
    <s v="7819"/>
  </r>
  <r>
    <x v="4"/>
    <x v="45"/>
    <s v="7820"/>
  </r>
  <r>
    <x v="4"/>
    <x v="45"/>
    <s v="7821"/>
  </r>
  <r>
    <x v="4"/>
    <x v="45"/>
    <s v="7822"/>
  </r>
  <r>
    <x v="4"/>
    <x v="46"/>
    <s v="7823"/>
  </r>
  <r>
    <x v="4"/>
    <x v="46"/>
    <s v="7824"/>
  </r>
  <r>
    <x v="4"/>
    <x v="46"/>
    <s v="7825"/>
  </r>
  <r>
    <x v="4"/>
    <x v="46"/>
    <s v="7827"/>
  </r>
  <r>
    <x v="4"/>
    <x v="46"/>
    <s v="7829"/>
  </r>
  <r>
    <x v="4"/>
    <x v="46"/>
    <s v="7830"/>
  </r>
  <r>
    <x v="4"/>
    <x v="46"/>
    <s v="7832"/>
  </r>
  <r>
    <x v="4"/>
    <x v="45"/>
    <s v="7833"/>
  </r>
  <r>
    <x v="4"/>
    <x v="46"/>
    <s v="7834"/>
  </r>
  <r>
    <x v="4"/>
    <x v="46"/>
    <s v="7835"/>
  </r>
  <r>
    <x v="4"/>
    <x v="46"/>
    <s v="7836"/>
  </r>
  <r>
    <x v="4"/>
    <x v="46"/>
    <s v="7838"/>
  </r>
  <r>
    <x v="4"/>
    <x v="46"/>
    <s v="7840"/>
  </r>
  <r>
    <x v="4"/>
    <x v="44"/>
    <s v="7844"/>
  </r>
  <r>
    <x v="4"/>
    <x v="44"/>
    <s v="7845"/>
  </r>
  <r>
    <x v="4"/>
    <x v="44"/>
    <s v="7847"/>
  </r>
  <r>
    <x v="4"/>
    <x v="47"/>
    <s v="7849"/>
  </r>
  <r>
    <x v="4"/>
    <x v="47"/>
    <s v="7850"/>
  </r>
  <r>
    <x v="4"/>
    <x v="47"/>
    <s v="7852"/>
  </r>
  <r>
    <x v="4"/>
    <x v="47"/>
    <s v="7853"/>
  </r>
  <r>
    <x v="4"/>
    <x v="47"/>
    <s v="7854"/>
  </r>
  <r>
    <x v="4"/>
    <x v="47"/>
    <s v="7855"/>
  </r>
  <r>
    <x v="4"/>
    <x v="47"/>
    <s v="7856"/>
  </r>
  <r>
    <x v="4"/>
    <x v="47"/>
    <s v="7857"/>
  </r>
  <r>
    <x v="4"/>
    <x v="47"/>
    <s v="7860"/>
  </r>
  <r>
    <x v="4"/>
    <x v="47"/>
    <s v="7863"/>
  </r>
  <r>
    <x v="4"/>
    <x v="47"/>
    <s v="7864"/>
  </r>
  <r>
    <x v="4"/>
    <x v="47"/>
    <s v="7865"/>
  </r>
  <r>
    <x v="4"/>
    <x v="47"/>
    <s v="7866"/>
  </r>
  <r>
    <x v="4"/>
    <x v="47"/>
    <s v="7867"/>
  </r>
  <r>
    <x v="4"/>
    <x v="44"/>
    <s v="7868"/>
  </r>
  <r>
    <x v="4"/>
    <x v="42"/>
    <s v="7869"/>
  </r>
  <r>
    <x v="4"/>
    <x v="42"/>
    <s v="7871"/>
  </r>
  <r>
    <x v="4"/>
    <x v="42"/>
    <s v="7873"/>
  </r>
  <r>
    <x v="4"/>
    <x v="42"/>
    <s v="7875"/>
  </r>
  <r>
    <x v="4"/>
    <x v="44"/>
    <s v="7877"/>
  </r>
  <r>
    <x v="4"/>
    <x v="44"/>
    <s v="7878"/>
  </r>
  <r>
    <x v="4"/>
    <x v="44"/>
    <s v="7879"/>
  </r>
  <r>
    <x v="4"/>
    <x v="44"/>
    <s v="7881"/>
  </r>
  <r>
    <x v="4"/>
    <x v="42"/>
    <s v="7882"/>
  </r>
  <r>
    <x v="4"/>
    <x v="39"/>
    <s v="7883"/>
  </r>
  <r>
    <x v="4"/>
    <x v="39"/>
    <s v="7884"/>
  </r>
  <r>
    <x v="4"/>
    <x v="39"/>
    <s v="7885"/>
  </r>
  <r>
    <x v="4"/>
    <x v="44"/>
    <s v="7886"/>
  </r>
  <r>
    <x v="4"/>
    <x v="39"/>
    <s v="7887"/>
  </r>
  <r>
    <x v="4"/>
    <x v="47"/>
    <s v="7888"/>
  </r>
  <r>
    <x v="4"/>
    <x v="47"/>
    <s v="7889"/>
  </r>
  <r>
    <x v="4"/>
    <x v="47"/>
    <s v="7891"/>
  </r>
  <r>
    <x v="5"/>
    <x v="48"/>
    <s v="7894"/>
  </r>
  <r>
    <x v="5"/>
    <x v="48"/>
    <s v="7895"/>
  </r>
  <r>
    <x v="5"/>
    <x v="48"/>
    <s v="7896"/>
  </r>
  <r>
    <x v="5"/>
    <x v="49"/>
    <s v="7897"/>
  </r>
  <r>
    <x v="5"/>
    <x v="48"/>
    <s v="7898"/>
  </r>
  <r>
    <x v="5"/>
    <x v="49"/>
    <s v="7899"/>
  </r>
  <r>
    <x v="5"/>
    <x v="49"/>
    <s v="7900"/>
  </r>
  <r>
    <x v="5"/>
    <x v="48"/>
    <s v="7903"/>
  </r>
  <r>
    <x v="5"/>
    <x v="48"/>
    <s v="7904"/>
  </r>
  <r>
    <x v="5"/>
    <x v="48"/>
    <s v="7905"/>
  </r>
  <r>
    <x v="5"/>
    <x v="48"/>
    <s v="7906"/>
  </r>
  <r>
    <x v="5"/>
    <x v="48"/>
    <s v="7907"/>
  </r>
  <r>
    <x v="5"/>
    <x v="50"/>
    <s v="7909"/>
  </r>
  <r>
    <x v="5"/>
    <x v="50"/>
    <s v="7910"/>
  </r>
  <r>
    <x v="5"/>
    <x v="50"/>
    <s v="7911"/>
  </r>
  <r>
    <x v="5"/>
    <x v="50"/>
    <s v="7912"/>
  </r>
  <r>
    <x v="5"/>
    <x v="50"/>
    <s v="7913"/>
  </r>
  <r>
    <x v="5"/>
    <x v="50"/>
    <s v="7914"/>
  </r>
  <r>
    <x v="5"/>
    <x v="50"/>
    <s v="7915"/>
  </r>
  <r>
    <x v="5"/>
    <x v="48"/>
    <s v="7916"/>
  </r>
  <r>
    <x v="5"/>
    <x v="48"/>
    <s v="7917"/>
  </r>
  <r>
    <x v="5"/>
    <x v="48"/>
    <s v="7919"/>
  </r>
  <r>
    <x v="5"/>
    <x v="48"/>
    <s v="7920"/>
  </r>
  <r>
    <x v="5"/>
    <x v="48"/>
    <s v="7922"/>
  </r>
  <r>
    <x v="5"/>
    <x v="48"/>
    <s v="7923"/>
  </r>
  <r>
    <x v="5"/>
    <x v="48"/>
    <s v="7925"/>
  </r>
  <r>
    <x v="5"/>
    <x v="48"/>
    <s v="7926"/>
  </r>
  <r>
    <x v="5"/>
    <x v="51"/>
    <s v="7927"/>
  </r>
  <r>
    <x v="5"/>
    <x v="51"/>
    <s v="7928"/>
  </r>
  <r>
    <x v="5"/>
    <x v="51"/>
    <s v="7929"/>
  </r>
  <r>
    <x v="5"/>
    <x v="51"/>
    <s v="7930"/>
  </r>
  <r>
    <x v="5"/>
    <x v="51"/>
    <s v="7932"/>
  </r>
  <r>
    <x v="5"/>
    <x v="51"/>
    <s v="7933"/>
  </r>
  <r>
    <x v="5"/>
    <x v="51"/>
    <s v="7934"/>
  </r>
  <r>
    <x v="5"/>
    <x v="50"/>
    <s v="7935"/>
  </r>
  <r>
    <x v="5"/>
    <x v="51"/>
    <s v="7936"/>
  </r>
  <r>
    <x v="5"/>
    <x v="48"/>
    <s v="7938"/>
  </r>
  <r>
    <x v="5"/>
    <x v="51"/>
    <s v="7939"/>
  </r>
  <r>
    <x v="5"/>
    <x v="51"/>
    <s v="7940"/>
  </r>
  <r>
    <x v="5"/>
    <x v="51"/>
    <s v="7941"/>
  </r>
  <r>
    <x v="5"/>
    <x v="51"/>
    <s v="7942"/>
  </r>
  <r>
    <x v="5"/>
    <x v="51"/>
    <s v="7943"/>
  </r>
  <r>
    <x v="5"/>
    <x v="51"/>
    <s v="7945"/>
  </r>
  <r>
    <x v="5"/>
    <x v="51"/>
    <s v="7946"/>
  </r>
  <r>
    <x v="5"/>
    <x v="49"/>
    <s v="7948"/>
  </r>
  <r>
    <x v="5"/>
    <x v="49"/>
    <s v="7952"/>
  </r>
  <r>
    <x v="5"/>
    <x v="49"/>
    <s v="7954"/>
  </r>
  <r>
    <x v="5"/>
    <x v="49"/>
    <s v="7956"/>
  </r>
  <r>
    <x v="5"/>
    <x v="49"/>
    <s v="7957"/>
  </r>
  <r>
    <x v="5"/>
    <x v="49"/>
    <s v="7958"/>
  </r>
  <r>
    <x v="5"/>
    <x v="49"/>
    <s v="7960"/>
  </r>
  <r>
    <x v="5"/>
    <x v="49"/>
    <s v="7962"/>
  </r>
  <r>
    <x v="5"/>
    <x v="49"/>
    <s v="7963"/>
  </r>
  <r>
    <x v="6"/>
    <x v="52"/>
    <s v="7964"/>
  </r>
  <r>
    <x v="5"/>
    <x v="49"/>
    <s v="7965"/>
  </r>
  <r>
    <x v="6"/>
    <x v="52"/>
    <s v="7966"/>
  </r>
  <r>
    <x v="6"/>
    <x v="52"/>
    <s v="7967"/>
  </r>
  <r>
    <x v="5"/>
    <x v="49"/>
    <s v="7969"/>
  </r>
  <r>
    <x v="5"/>
    <x v="49"/>
    <s v="7970"/>
  </r>
  <r>
    <x v="5"/>
    <x v="49"/>
    <s v="7971"/>
  </r>
  <r>
    <x v="5"/>
    <x v="48"/>
    <s v="7973"/>
  </r>
  <r>
    <x v="7"/>
    <x v="53"/>
    <s v="7974"/>
  </r>
  <r>
    <x v="8"/>
    <x v="54"/>
    <s v="7975"/>
  </r>
  <r>
    <x v="8"/>
    <x v="54"/>
    <s v="7976"/>
  </r>
  <r>
    <x v="8"/>
    <x v="54"/>
    <s v="7977"/>
  </r>
  <r>
    <x v="8"/>
    <x v="54"/>
    <s v="7979"/>
  </r>
  <r>
    <x v="7"/>
    <x v="53"/>
    <s v="7980"/>
  </r>
  <r>
    <x v="8"/>
    <x v="54"/>
    <s v="7981"/>
  </r>
  <r>
    <x v="8"/>
    <x v="54"/>
    <s v="7982"/>
  </r>
  <r>
    <x v="8"/>
    <x v="54"/>
    <s v="7983"/>
  </r>
  <r>
    <x v="8"/>
    <x v="54"/>
    <s v="7987"/>
  </r>
  <r>
    <x v="6"/>
    <x v="55"/>
    <s v="7988"/>
  </r>
  <r>
    <x v="6"/>
    <x v="55"/>
    <s v="7990"/>
  </r>
  <r>
    <x v="6"/>
    <x v="52"/>
    <s v="7991"/>
  </r>
  <r>
    <x v="6"/>
    <x v="56"/>
    <s v="7993"/>
  </r>
  <r>
    <x v="6"/>
    <x v="52"/>
    <s v="7994"/>
  </r>
  <r>
    <x v="6"/>
    <x v="52"/>
    <s v="7995"/>
  </r>
  <r>
    <x v="6"/>
    <x v="52"/>
    <s v="7996"/>
  </r>
  <r>
    <x v="6"/>
    <x v="56"/>
    <s v="7998"/>
  </r>
  <r>
    <x v="7"/>
    <x v="53"/>
    <s v="7999"/>
  </r>
  <r>
    <x v="7"/>
    <x v="53"/>
    <s v="8000"/>
  </r>
  <r>
    <x v="5"/>
    <x v="49"/>
    <s v="8001"/>
  </r>
  <r>
    <x v="5"/>
    <x v="49"/>
    <s v="8003"/>
  </r>
  <r>
    <x v="7"/>
    <x v="53"/>
    <s v="8005"/>
  </r>
  <r>
    <x v="6"/>
    <x v="55"/>
    <s v="8010"/>
  </r>
  <r>
    <x v="6"/>
    <x v="55"/>
    <s v="8011"/>
  </r>
  <r>
    <x v="6"/>
    <x v="55"/>
    <s v="8012"/>
  </r>
  <r>
    <x v="6"/>
    <x v="55"/>
    <s v="8013"/>
  </r>
  <r>
    <x v="6"/>
    <x v="55"/>
    <s v="8014"/>
  </r>
  <r>
    <x v="6"/>
    <x v="55"/>
    <s v="8015"/>
  </r>
  <r>
    <x v="6"/>
    <x v="56"/>
    <s v="8017"/>
  </r>
  <r>
    <x v="6"/>
    <x v="56"/>
    <s v="8018"/>
  </r>
  <r>
    <x v="6"/>
    <x v="56"/>
    <s v="8019"/>
  </r>
  <r>
    <x v="6"/>
    <x v="56"/>
    <s v="8020"/>
  </r>
  <r>
    <x v="6"/>
    <x v="56"/>
    <s v="8021"/>
  </r>
  <r>
    <x v="6"/>
    <x v="57"/>
    <s v="8022"/>
  </r>
  <r>
    <x v="6"/>
    <x v="56"/>
    <s v="8025"/>
  </r>
  <r>
    <x v="6"/>
    <x v="57"/>
    <s v="8029"/>
  </r>
  <r>
    <x v="6"/>
    <x v="56"/>
    <s v="8031"/>
  </r>
  <r>
    <x v="6"/>
    <x v="55"/>
    <s v="8032"/>
  </r>
  <r>
    <x v="6"/>
    <x v="55"/>
    <s v="8035"/>
  </r>
  <r>
    <x v="6"/>
    <x v="58"/>
    <s v="8036"/>
  </r>
  <r>
    <x v="6"/>
    <x v="52"/>
    <s v="8037"/>
  </r>
  <r>
    <x v="6"/>
    <x v="52"/>
    <s v="8038"/>
  </r>
  <r>
    <x v="6"/>
    <x v="55"/>
    <s v="8039"/>
  </r>
  <r>
    <x v="6"/>
    <x v="52"/>
    <s v="8042"/>
  </r>
  <r>
    <x v="6"/>
    <x v="52"/>
    <s v="8044"/>
  </r>
  <r>
    <x v="6"/>
    <x v="52"/>
    <s v="8045"/>
  </r>
  <r>
    <x v="6"/>
    <x v="52"/>
    <s v="8047"/>
  </r>
  <r>
    <x v="6"/>
    <x v="52"/>
    <s v="8048"/>
  </r>
  <r>
    <x v="6"/>
    <x v="52"/>
    <s v="8050"/>
  </r>
  <r>
    <x v="6"/>
    <x v="52"/>
    <s v="8052"/>
  </r>
  <r>
    <x v="6"/>
    <x v="52"/>
    <s v="8053"/>
  </r>
  <r>
    <x v="6"/>
    <x v="52"/>
    <s v="8054"/>
  </r>
  <r>
    <x v="6"/>
    <x v="52"/>
    <s v="8055"/>
  </r>
  <r>
    <x v="5"/>
    <x v="49"/>
    <s v="8057"/>
  </r>
  <r>
    <x v="5"/>
    <x v="49"/>
    <s v="8058"/>
  </r>
  <r>
    <x v="6"/>
    <x v="52"/>
    <s v="8059"/>
  </r>
  <r>
    <x v="6"/>
    <x v="57"/>
    <s v="8060"/>
  </r>
  <r>
    <x v="6"/>
    <x v="59"/>
    <s v="8065"/>
  </r>
  <r>
    <x v="6"/>
    <x v="57"/>
    <s v="8067"/>
  </r>
  <r>
    <x v="6"/>
    <x v="60"/>
    <s v="8068"/>
  </r>
  <r>
    <x v="6"/>
    <x v="57"/>
    <s v="8069"/>
  </r>
  <r>
    <x v="6"/>
    <x v="60"/>
    <s v="8071"/>
  </r>
  <r>
    <x v="6"/>
    <x v="60"/>
    <s v="8072"/>
  </r>
  <r>
    <x v="6"/>
    <x v="60"/>
    <s v="8073"/>
  </r>
  <r>
    <x v="6"/>
    <x v="60"/>
    <s v="8074"/>
  </r>
  <r>
    <x v="6"/>
    <x v="55"/>
    <s v="8077"/>
  </r>
  <r>
    <x v="6"/>
    <x v="55"/>
    <s v="8078"/>
  </r>
  <r>
    <x v="6"/>
    <x v="59"/>
    <s v="8079"/>
  </r>
  <r>
    <x v="6"/>
    <x v="59"/>
    <s v="8081"/>
  </r>
  <r>
    <x v="6"/>
    <x v="55"/>
    <s v="8083"/>
  </r>
  <r>
    <x v="6"/>
    <x v="55"/>
    <s v="8085"/>
  </r>
  <r>
    <x v="6"/>
    <x v="61"/>
    <s v="8086"/>
  </r>
  <r>
    <x v="6"/>
    <x v="61"/>
    <s v="8087"/>
  </r>
  <r>
    <x v="6"/>
    <x v="61"/>
    <s v="8089"/>
  </r>
  <r>
    <x v="6"/>
    <x v="61"/>
    <s v="8093"/>
  </r>
  <r>
    <x v="6"/>
    <x v="58"/>
    <s v="8100"/>
  </r>
  <r>
    <x v="6"/>
    <x v="58"/>
    <s v="8101"/>
  </r>
  <r>
    <x v="6"/>
    <x v="58"/>
    <s v="8102"/>
  </r>
  <r>
    <x v="6"/>
    <x v="58"/>
    <s v="8103"/>
  </r>
  <r>
    <x v="6"/>
    <x v="58"/>
    <s v="8104"/>
  </r>
  <r>
    <x v="6"/>
    <x v="58"/>
    <s v="8105"/>
  </r>
  <r>
    <x v="6"/>
    <x v="58"/>
    <s v="8106"/>
  </r>
  <r>
    <x v="6"/>
    <x v="58"/>
    <s v="8107"/>
  </r>
  <r>
    <x v="6"/>
    <x v="58"/>
    <s v="8108"/>
  </r>
  <r>
    <x v="6"/>
    <x v="58"/>
    <s v="8109"/>
  </r>
  <r>
    <x v="6"/>
    <x v="58"/>
    <s v="8110"/>
  </r>
  <r>
    <x v="6"/>
    <x v="58"/>
    <s v="8111"/>
  </r>
  <r>
    <x v="6"/>
    <x v="62"/>
    <s v="8114"/>
  </r>
  <r>
    <x v="6"/>
    <x v="62"/>
    <s v="8115"/>
  </r>
  <r>
    <x v="6"/>
    <x v="62"/>
    <s v="8116"/>
  </r>
  <r>
    <x v="6"/>
    <x v="59"/>
    <s v="8117"/>
  </r>
  <r>
    <x v="6"/>
    <x v="62"/>
    <s v="8118"/>
  </r>
  <r>
    <x v="6"/>
    <x v="62"/>
    <s v="8119"/>
  </r>
  <r>
    <x v="6"/>
    <x v="62"/>
    <s v="8120"/>
  </r>
  <r>
    <x v="6"/>
    <x v="62"/>
    <s v="8121"/>
  </r>
  <r>
    <x v="6"/>
    <x v="59"/>
    <s v="8122"/>
  </r>
  <r>
    <x v="6"/>
    <x v="60"/>
    <s v="8123"/>
  </r>
  <r>
    <x v="6"/>
    <x v="60"/>
    <s v="8124"/>
  </r>
  <r>
    <x v="6"/>
    <x v="59"/>
    <s v="8125"/>
  </r>
  <r>
    <x v="6"/>
    <x v="59"/>
    <s v="8128"/>
  </r>
  <r>
    <x v="6"/>
    <x v="59"/>
    <s v="8129"/>
  </r>
  <r>
    <x v="6"/>
    <x v="59"/>
    <s v="8130"/>
  </r>
  <r>
    <x v="6"/>
    <x v="59"/>
    <s v="8131"/>
  </r>
  <r>
    <x v="6"/>
    <x v="62"/>
    <s v="8132"/>
  </r>
  <r>
    <x v="6"/>
    <x v="63"/>
    <s v="8135"/>
  </r>
  <r>
    <x v="6"/>
    <x v="63"/>
    <s v="8137"/>
  </r>
  <r>
    <x v="6"/>
    <x v="63"/>
    <s v="8138"/>
  </r>
  <r>
    <x v="6"/>
    <x v="57"/>
    <s v="8139"/>
  </r>
  <r>
    <x v="6"/>
    <x v="57"/>
    <s v="8142"/>
  </r>
  <r>
    <x v="6"/>
    <x v="57"/>
    <s v="8143"/>
  </r>
  <r>
    <x v="6"/>
    <x v="63"/>
    <s v="8146"/>
  </r>
  <r>
    <x v="6"/>
    <x v="57"/>
    <s v="8147"/>
  </r>
  <r>
    <x v="6"/>
    <x v="64"/>
    <s v="8149"/>
  </r>
  <r>
    <x v="6"/>
    <x v="63"/>
    <s v="8153"/>
  </r>
  <r>
    <x v="6"/>
    <x v="63"/>
    <s v="8154"/>
  </r>
  <r>
    <x v="6"/>
    <x v="65"/>
    <s v="8155"/>
  </r>
  <r>
    <x v="6"/>
    <x v="65"/>
    <s v="8157"/>
  </r>
  <r>
    <x v="6"/>
    <x v="66"/>
    <s v="8159"/>
  </r>
  <r>
    <x v="6"/>
    <x v="66"/>
    <s v="8161"/>
  </r>
  <r>
    <x v="6"/>
    <x v="66"/>
    <s v="8165"/>
  </r>
  <r>
    <x v="6"/>
    <x v="66"/>
    <s v="8166"/>
  </r>
  <r>
    <x v="6"/>
    <x v="66"/>
    <s v="8167"/>
  </r>
  <r>
    <x v="6"/>
    <x v="66"/>
    <s v="8168"/>
  </r>
  <r>
    <x v="6"/>
    <x v="67"/>
    <s v="8174"/>
  </r>
  <r>
    <x v="6"/>
    <x v="67"/>
    <s v="8177"/>
  </r>
  <r>
    <x v="6"/>
    <x v="65"/>
    <s v="8181"/>
  </r>
  <r>
    <x v="6"/>
    <x v="65"/>
    <s v="8182"/>
  </r>
  <r>
    <x v="6"/>
    <x v="63"/>
    <s v="8183"/>
  </r>
  <r>
    <x v="6"/>
    <x v="65"/>
    <s v="8184"/>
  </r>
  <r>
    <x v="6"/>
    <x v="64"/>
    <s v="8186"/>
  </r>
  <r>
    <x v="6"/>
    <x v="65"/>
    <s v="8187"/>
  </r>
  <r>
    <x v="6"/>
    <x v="65"/>
    <s v="8189"/>
  </r>
  <r>
    <x v="6"/>
    <x v="65"/>
    <s v="8191"/>
  </r>
  <r>
    <x v="6"/>
    <x v="65"/>
    <s v="8193"/>
  </r>
  <r>
    <x v="6"/>
    <x v="65"/>
    <s v="8196"/>
  </r>
  <r>
    <x v="6"/>
    <x v="64"/>
    <s v="8198"/>
  </r>
  <r>
    <x v="6"/>
    <x v="64"/>
    <s v="8199"/>
  </r>
  <r>
    <x v="6"/>
    <x v="64"/>
    <s v="8202"/>
  </r>
  <r>
    <x v="6"/>
    <x v="64"/>
    <s v="8203"/>
  </r>
  <r>
    <x v="6"/>
    <x v="64"/>
    <s v="8204"/>
  </r>
  <r>
    <x v="6"/>
    <x v="64"/>
    <s v="8206"/>
  </r>
  <r>
    <x v="6"/>
    <x v="64"/>
    <s v="8207"/>
  </r>
  <r>
    <x v="6"/>
    <x v="63"/>
    <s v="8208"/>
  </r>
  <r>
    <x v="6"/>
    <x v="65"/>
    <s v="8210"/>
  </r>
  <r>
    <x v="6"/>
    <x v="65"/>
    <s v="8211"/>
  </r>
  <r>
    <x v="6"/>
    <x v="63"/>
    <s v="8213"/>
  </r>
  <r>
    <x v="6"/>
    <x v="63"/>
    <s v="8214"/>
  </r>
  <r>
    <x v="6"/>
    <x v="66"/>
    <s v="8217"/>
  </r>
  <r>
    <x v="6"/>
    <x v="66"/>
    <s v="8218"/>
  </r>
  <r>
    <x v="6"/>
    <x v="67"/>
    <s v="8219"/>
  </r>
  <r>
    <x v="6"/>
    <x v="66"/>
    <s v="8221"/>
  </r>
  <r>
    <x v="6"/>
    <x v="67"/>
    <s v="8223"/>
  </r>
  <r>
    <x v="6"/>
    <x v="67"/>
    <s v="8224"/>
  </r>
  <r>
    <x v="6"/>
    <x v="67"/>
    <s v="8225"/>
  </r>
  <r>
    <x v="6"/>
    <x v="66"/>
    <s v="8231"/>
  </r>
  <r>
    <x v="6"/>
    <x v="66"/>
    <s v="8232"/>
  </r>
  <r>
    <x v="6"/>
    <x v="66"/>
    <s v="8236"/>
  </r>
  <r>
    <x v="6"/>
    <x v="66"/>
    <s v="8238"/>
  </r>
  <r>
    <x v="6"/>
    <x v="66"/>
    <s v="8240"/>
  </r>
  <r>
    <x v="6"/>
    <x v="67"/>
    <s v="8242"/>
  </r>
  <r>
    <x v="6"/>
    <x v="67"/>
    <s v="8244"/>
  </r>
  <r>
    <x v="6"/>
    <x v="67"/>
    <s v="8245"/>
  </r>
  <r>
    <x v="6"/>
    <x v="60"/>
    <s v="8246"/>
  </r>
  <r>
    <x v="6"/>
    <x v="60"/>
    <s v="8247"/>
  </r>
  <r>
    <x v="6"/>
    <x v="60"/>
    <s v="8249"/>
  </r>
  <r>
    <x v="6"/>
    <x v="60"/>
    <s v="8250"/>
  </r>
  <r>
    <x v="6"/>
    <x v="67"/>
    <s v="8253"/>
  </r>
  <r>
    <x v="6"/>
    <x v="67"/>
    <s v="8256"/>
  </r>
  <r>
    <x v="6"/>
    <x v="66"/>
    <s v="8260"/>
  </r>
  <r>
    <x v="6"/>
    <x v="66"/>
    <s v="8264"/>
  </r>
  <r>
    <x v="6"/>
    <x v="66"/>
    <s v="8265"/>
  </r>
  <r>
    <x v="6"/>
    <x v="66"/>
    <s v="8266"/>
  </r>
  <r>
    <x v="6"/>
    <x v="66"/>
    <s v="8267"/>
  </r>
  <r>
    <x v="6"/>
    <x v="66"/>
    <s v="8268"/>
  </r>
  <r>
    <x v="7"/>
    <x v="68"/>
    <s v="8269"/>
  </r>
  <r>
    <x v="7"/>
    <x v="68"/>
    <s v="8270"/>
  </r>
  <r>
    <x v="7"/>
    <x v="68"/>
    <s v="8271"/>
  </r>
  <r>
    <x v="7"/>
    <x v="68"/>
    <s v="8272"/>
  </r>
  <r>
    <x v="7"/>
    <x v="68"/>
    <s v="8273"/>
  </r>
  <r>
    <x v="9"/>
    <x v="69"/>
    <s v="8276"/>
  </r>
  <r>
    <x v="7"/>
    <x v="68"/>
    <s v="8277"/>
  </r>
  <r>
    <x v="9"/>
    <x v="70"/>
    <s v="8279"/>
  </r>
  <r>
    <x v="7"/>
    <x v="68"/>
    <s v="8282"/>
  </r>
  <r>
    <x v="7"/>
    <x v="68"/>
    <s v="8283"/>
  </r>
  <r>
    <x v="7"/>
    <x v="68"/>
    <s v="8285"/>
  </r>
  <r>
    <x v="7"/>
    <x v="68"/>
    <s v="8287"/>
  </r>
  <r>
    <x v="9"/>
    <x v="70"/>
    <s v="8289"/>
  </r>
  <r>
    <x v="9"/>
    <x v="70"/>
    <s v="8292"/>
  </r>
  <r>
    <x v="9"/>
    <x v="70"/>
    <s v="8294"/>
  </r>
  <r>
    <x v="9"/>
    <x v="70"/>
    <s v="8295"/>
  </r>
  <r>
    <x v="9"/>
    <x v="70"/>
    <s v="8296"/>
  </r>
  <r>
    <x v="9"/>
    <x v="70"/>
    <s v="8299"/>
  </r>
  <r>
    <x v="9"/>
    <x v="70"/>
    <s v="8301"/>
  </r>
  <r>
    <x v="9"/>
    <x v="71"/>
    <s v="8303"/>
  </r>
  <r>
    <x v="9"/>
    <x v="71"/>
    <s v="8304"/>
  </r>
  <r>
    <x v="9"/>
    <x v="71"/>
    <s v="8305"/>
  </r>
  <r>
    <x v="9"/>
    <x v="71"/>
    <s v="8308"/>
  </r>
  <r>
    <x v="9"/>
    <x v="71"/>
    <s v="8309"/>
  </r>
  <r>
    <x v="9"/>
    <x v="71"/>
    <s v="8311"/>
  </r>
  <r>
    <x v="9"/>
    <x v="71"/>
    <s v="8313"/>
  </r>
  <r>
    <x v="9"/>
    <x v="71"/>
    <s v="8314"/>
  </r>
  <r>
    <x v="6"/>
    <x v="64"/>
    <s v="8315"/>
  </r>
  <r>
    <x v="9"/>
    <x v="72"/>
    <s v="8318"/>
  </r>
  <r>
    <x v="9"/>
    <x v="72"/>
    <s v="8319"/>
  </r>
  <r>
    <x v="9"/>
    <x v="72"/>
    <s v="8324"/>
  </r>
  <r>
    <x v="9"/>
    <x v="72"/>
    <s v="8325"/>
  </r>
  <r>
    <x v="9"/>
    <x v="69"/>
    <s v="8327"/>
  </r>
  <r>
    <x v="9"/>
    <x v="69"/>
    <s v="8329"/>
  </r>
  <r>
    <x v="9"/>
    <x v="69"/>
    <s v="8331"/>
  </r>
  <r>
    <x v="9"/>
    <x v="69"/>
    <s v="8333"/>
  </r>
  <r>
    <x v="9"/>
    <x v="70"/>
    <s v="8334"/>
  </r>
  <r>
    <x v="9"/>
    <x v="70"/>
    <s v="8335"/>
  </r>
  <r>
    <x v="9"/>
    <x v="70"/>
    <s v="8337"/>
  </r>
  <r>
    <x v="9"/>
    <x v="70"/>
    <s v="8338"/>
  </r>
  <r>
    <x v="9"/>
    <x v="70"/>
    <s v="8339"/>
  </r>
  <r>
    <x v="9"/>
    <x v="70"/>
    <s v="8341"/>
  </r>
  <r>
    <x v="9"/>
    <x v="69"/>
    <s v="8342"/>
  </r>
  <r>
    <x v="9"/>
    <x v="72"/>
    <s v="8343"/>
  </r>
  <r>
    <x v="9"/>
    <x v="70"/>
    <s v="8346"/>
  </r>
  <r>
    <x v="9"/>
    <x v="70"/>
    <s v="8347"/>
  </r>
  <r>
    <x v="7"/>
    <x v="68"/>
    <s v="8348"/>
  </r>
  <r>
    <x v="7"/>
    <x v="68"/>
    <s v="8349"/>
  </r>
  <r>
    <x v="7"/>
    <x v="68"/>
    <s v="8350"/>
  </r>
  <r>
    <x v="7"/>
    <x v="68"/>
    <s v="8352"/>
  </r>
  <r>
    <x v="7"/>
    <x v="68"/>
    <s v="8354"/>
  </r>
  <r>
    <x v="9"/>
    <x v="69"/>
    <s v="8356"/>
  </r>
  <r>
    <x v="7"/>
    <x v="68"/>
    <s v="8358"/>
  </r>
  <r>
    <x v="7"/>
    <x v="68"/>
    <s v="8359"/>
  </r>
  <r>
    <x v="9"/>
    <x v="69"/>
    <s v="8362"/>
  </r>
  <r>
    <x v="9"/>
    <x v="73"/>
    <s v="8364"/>
  </r>
  <r>
    <x v="9"/>
    <x v="73"/>
    <s v="8365"/>
  </r>
  <r>
    <x v="9"/>
    <x v="73"/>
    <s v="8366"/>
  </r>
  <r>
    <x v="9"/>
    <x v="73"/>
    <s v="8367"/>
  </r>
  <r>
    <x v="9"/>
    <x v="73"/>
    <s v="8368"/>
  </r>
  <r>
    <x v="9"/>
    <x v="73"/>
    <s v="8369"/>
  </r>
  <r>
    <x v="9"/>
    <x v="72"/>
    <s v="8370"/>
  </r>
  <r>
    <x v="9"/>
    <x v="72"/>
    <s v="8371"/>
  </r>
  <r>
    <x v="9"/>
    <x v="73"/>
    <s v="8372"/>
  </r>
  <r>
    <x v="9"/>
    <x v="73"/>
    <s v="8373"/>
  </r>
  <r>
    <x v="9"/>
    <x v="73"/>
    <s v="8374"/>
  </r>
  <r>
    <x v="9"/>
    <x v="74"/>
    <s v="8375"/>
  </r>
  <r>
    <x v="9"/>
    <x v="74"/>
    <s v="8376"/>
  </r>
  <r>
    <x v="9"/>
    <x v="74"/>
    <s v="8377"/>
  </r>
  <r>
    <x v="9"/>
    <x v="74"/>
    <s v="8378"/>
  </r>
  <r>
    <x v="9"/>
    <x v="75"/>
    <s v="8379"/>
  </r>
  <r>
    <x v="9"/>
    <x v="75"/>
    <s v="8380"/>
  </r>
  <r>
    <x v="9"/>
    <x v="74"/>
    <s v="8381"/>
  </r>
  <r>
    <x v="9"/>
    <x v="74"/>
    <s v="8382"/>
  </r>
  <r>
    <x v="9"/>
    <x v="74"/>
    <s v="8383"/>
  </r>
  <r>
    <x v="9"/>
    <x v="74"/>
    <s v="8385"/>
  </r>
  <r>
    <x v="9"/>
    <x v="74"/>
    <s v="8386"/>
  </r>
  <r>
    <x v="9"/>
    <x v="74"/>
    <s v="8387"/>
  </r>
  <r>
    <x v="9"/>
    <x v="69"/>
    <s v="8388"/>
  </r>
  <r>
    <x v="9"/>
    <x v="75"/>
    <s v="8393"/>
  </r>
  <r>
    <x v="9"/>
    <x v="75"/>
    <s v="8394"/>
  </r>
  <r>
    <x v="9"/>
    <x v="75"/>
    <s v="8395"/>
  </r>
  <r>
    <x v="9"/>
    <x v="75"/>
    <s v="8397"/>
  </r>
  <r>
    <x v="7"/>
    <x v="68"/>
    <s v="8399"/>
  </r>
  <r>
    <x v="9"/>
    <x v="75"/>
    <s v="8401"/>
  </r>
  <r>
    <x v="9"/>
    <x v="76"/>
    <s v="8402"/>
  </r>
  <r>
    <x v="9"/>
    <x v="76"/>
    <s v="8403"/>
  </r>
  <r>
    <x v="9"/>
    <x v="77"/>
    <s v="8404"/>
  </r>
  <r>
    <x v="9"/>
    <x v="77"/>
    <s v="8407"/>
  </r>
  <r>
    <x v="9"/>
    <x v="77"/>
    <s v="8408"/>
  </r>
  <r>
    <x v="9"/>
    <x v="77"/>
    <s v="8409"/>
  </r>
  <r>
    <x v="9"/>
    <x v="76"/>
    <s v="8412"/>
  </r>
  <r>
    <x v="9"/>
    <x v="77"/>
    <s v="8414"/>
  </r>
  <r>
    <x v="9"/>
    <x v="77"/>
    <s v="8415"/>
  </r>
  <r>
    <x v="9"/>
    <x v="76"/>
    <s v="8416"/>
  </r>
  <r>
    <x v="9"/>
    <x v="76"/>
    <s v="8418"/>
  </r>
  <r>
    <x v="9"/>
    <x v="76"/>
    <s v="8419"/>
  </r>
  <r>
    <x v="9"/>
    <x v="75"/>
    <s v="8420"/>
  </r>
  <r>
    <x v="9"/>
    <x v="75"/>
    <s v="8422"/>
  </r>
  <r>
    <x v="9"/>
    <x v="75"/>
    <s v="8424"/>
  </r>
  <r>
    <x v="9"/>
    <x v="75"/>
    <s v="8425"/>
  </r>
  <r>
    <x v="9"/>
    <x v="75"/>
    <s v="8426"/>
  </r>
  <r>
    <x v="9"/>
    <x v="76"/>
    <s v="8427"/>
  </r>
  <r>
    <x v="9"/>
    <x v="78"/>
    <s v="8429"/>
  </r>
  <r>
    <x v="9"/>
    <x v="79"/>
    <s v="8430"/>
  </r>
  <r>
    <x v="9"/>
    <x v="78"/>
    <s v="8431"/>
  </r>
  <r>
    <x v="9"/>
    <x v="79"/>
    <s v="8433"/>
  </r>
  <r>
    <x v="9"/>
    <x v="79"/>
    <s v="8435"/>
  </r>
  <r>
    <x v="9"/>
    <x v="78"/>
    <s v="8437"/>
  </r>
  <r>
    <x v="9"/>
    <x v="79"/>
    <s v="8440"/>
  </r>
  <r>
    <x v="9"/>
    <x v="79"/>
    <s v="8443"/>
  </r>
  <r>
    <x v="9"/>
    <x v="79"/>
    <s v="8445"/>
  </r>
  <r>
    <x v="9"/>
    <x v="79"/>
    <s v="8446"/>
  </r>
  <r>
    <x v="9"/>
    <x v="79"/>
    <s v="8447"/>
  </r>
  <r>
    <x v="9"/>
    <x v="76"/>
    <s v="8448"/>
  </r>
  <r>
    <x v="9"/>
    <x v="76"/>
    <s v="8449"/>
  </r>
  <r>
    <x v="9"/>
    <x v="76"/>
    <s v="8451"/>
  </r>
  <r>
    <x v="9"/>
    <x v="76"/>
    <s v="8452"/>
  </r>
  <r>
    <x v="9"/>
    <x v="77"/>
    <s v="8454"/>
  </r>
  <r>
    <x v="9"/>
    <x v="77"/>
    <s v="8455"/>
  </r>
  <r>
    <x v="9"/>
    <x v="77"/>
    <s v="8456"/>
  </r>
  <r>
    <x v="9"/>
    <x v="78"/>
    <s v="8457"/>
  </r>
  <r>
    <x v="9"/>
    <x v="77"/>
    <s v="8458"/>
  </r>
  <r>
    <x v="9"/>
    <x v="78"/>
    <s v="8459"/>
  </r>
  <r>
    <x v="9"/>
    <x v="78"/>
    <s v="8460"/>
  </r>
  <r>
    <x v="9"/>
    <x v="78"/>
    <s v="8461"/>
  </r>
  <r>
    <x v="9"/>
    <x v="78"/>
    <s v="8463"/>
  </r>
  <r>
    <x v="9"/>
    <x v="78"/>
    <s v="8465"/>
  </r>
  <r>
    <x v="9"/>
    <x v="78"/>
    <s v="8466"/>
  </r>
  <r>
    <x v="9"/>
    <x v="77"/>
    <s v="8468"/>
  </r>
  <r>
    <x v="9"/>
    <x v="77"/>
    <s v="8472"/>
  </r>
  <r>
    <x v="9"/>
    <x v="77"/>
    <s v="8474"/>
  </r>
  <r>
    <x v="9"/>
    <x v="77"/>
    <s v="8475"/>
  </r>
  <r>
    <x v="9"/>
    <x v="79"/>
    <s v="8476"/>
  </r>
  <r>
    <x v="9"/>
    <x v="79"/>
    <s v="8478"/>
  </r>
  <r>
    <x v="9"/>
    <x v="79"/>
    <s v="8479"/>
  </r>
  <r>
    <x v="9"/>
    <x v="79"/>
    <s v="8480"/>
  </r>
  <r>
    <x v="9"/>
    <x v="79"/>
    <s v="8481"/>
  </r>
  <r>
    <x v="9"/>
    <x v="78"/>
    <s v="8482"/>
  </r>
  <r>
    <x v="9"/>
    <x v="78"/>
    <s v="8483"/>
  </r>
  <r>
    <x v="7"/>
    <x v="80"/>
    <s v="8484"/>
  </r>
  <r>
    <x v="6"/>
    <x v="57"/>
    <s v="8486"/>
  </r>
  <r>
    <x v="6"/>
    <x v="57"/>
    <s v="8489"/>
  </r>
  <r>
    <x v="6"/>
    <x v="57"/>
    <s v="8494"/>
  </r>
  <r>
    <x v="6"/>
    <x v="57"/>
    <s v="8495"/>
  </r>
  <r>
    <x v="6"/>
    <x v="56"/>
    <s v="8496"/>
  </r>
  <r>
    <x v="7"/>
    <x v="81"/>
    <s v="8497"/>
  </r>
  <r>
    <x v="7"/>
    <x v="82"/>
    <s v="8499"/>
  </r>
  <r>
    <x v="7"/>
    <x v="81"/>
    <s v="8500"/>
  </r>
  <r>
    <x v="7"/>
    <x v="81"/>
    <s v="8501"/>
  </r>
  <r>
    <x v="7"/>
    <x v="81"/>
    <s v="8503"/>
  </r>
  <r>
    <x v="7"/>
    <x v="81"/>
    <s v="8504"/>
  </r>
  <r>
    <x v="7"/>
    <x v="81"/>
    <s v="8505"/>
  </r>
  <r>
    <x v="7"/>
    <x v="81"/>
    <s v="8506"/>
  </r>
  <r>
    <x v="7"/>
    <x v="81"/>
    <s v="8507"/>
  </r>
  <r>
    <x v="7"/>
    <x v="81"/>
    <s v="8508"/>
  </r>
  <r>
    <x v="7"/>
    <x v="81"/>
    <s v="8509"/>
  </r>
  <r>
    <x v="6"/>
    <x v="65"/>
    <s v="8510"/>
  </r>
  <r>
    <x v="6"/>
    <x v="65"/>
    <s v="8512"/>
  </r>
  <r>
    <x v="6"/>
    <x v="63"/>
    <s v="8513"/>
  </r>
  <r>
    <x v="6"/>
    <x v="63"/>
    <s v="8515"/>
  </r>
  <r>
    <x v="6"/>
    <x v="63"/>
    <s v="8516"/>
  </r>
  <r>
    <x v="7"/>
    <x v="68"/>
    <s v="8517"/>
  </r>
  <r>
    <x v="7"/>
    <x v="68"/>
    <s v="8518"/>
  </r>
  <r>
    <x v="7"/>
    <x v="68"/>
    <s v="8519"/>
  </r>
  <r>
    <x v="7"/>
    <x v="68"/>
    <s v="8520"/>
  </r>
  <r>
    <x v="7"/>
    <x v="68"/>
    <s v="8521"/>
  </r>
  <r>
    <x v="7"/>
    <x v="68"/>
    <s v="8522"/>
  </r>
  <r>
    <x v="7"/>
    <x v="80"/>
    <s v="8523"/>
  </r>
  <r>
    <x v="6"/>
    <x v="64"/>
    <s v="8524"/>
  </r>
  <r>
    <x v="7"/>
    <x v="80"/>
    <s v="8525"/>
  </r>
  <r>
    <x v="7"/>
    <x v="80"/>
    <s v="8526"/>
  </r>
  <r>
    <x v="7"/>
    <x v="80"/>
    <s v="8527"/>
  </r>
  <r>
    <x v="7"/>
    <x v="80"/>
    <s v="8528"/>
  </r>
  <r>
    <x v="7"/>
    <x v="80"/>
    <s v="8529"/>
  </r>
  <r>
    <x v="7"/>
    <x v="80"/>
    <s v="8531"/>
  </r>
  <r>
    <x v="7"/>
    <x v="80"/>
    <s v="8532"/>
  </r>
  <r>
    <x v="7"/>
    <x v="81"/>
    <s v="8534"/>
  </r>
  <r>
    <x v="7"/>
    <x v="81"/>
    <s v="8536"/>
  </r>
  <r>
    <x v="7"/>
    <x v="83"/>
    <s v="8540"/>
  </r>
  <r>
    <x v="7"/>
    <x v="83"/>
    <s v="8546"/>
  </r>
  <r>
    <x v="7"/>
    <x v="83"/>
    <s v="8548"/>
  </r>
  <r>
    <x v="7"/>
    <x v="83"/>
    <s v="8549"/>
  </r>
  <r>
    <x v="7"/>
    <x v="83"/>
    <s v="8551"/>
  </r>
  <r>
    <x v="7"/>
    <x v="82"/>
    <s v="8558"/>
  </r>
  <r>
    <x v="7"/>
    <x v="82"/>
    <s v="8560"/>
  </r>
  <r>
    <x v="7"/>
    <x v="82"/>
    <s v="8561"/>
  </r>
  <r>
    <x v="7"/>
    <x v="81"/>
    <s v="8563"/>
  </r>
  <r>
    <x v="7"/>
    <x v="80"/>
    <s v="8566"/>
  </r>
  <r>
    <x v="7"/>
    <x v="80"/>
    <s v="8567"/>
  </r>
  <r>
    <x v="7"/>
    <x v="80"/>
    <s v="8568"/>
  </r>
  <r>
    <x v="7"/>
    <x v="80"/>
    <s v="8569"/>
  </r>
  <r>
    <x v="7"/>
    <x v="82"/>
    <s v="8572"/>
  </r>
  <r>
    <x v="7"/>
    <x v="82"/>
    <s v="8573"/>
  </r>
  <r>
    <x v="7"/>
    <x v="82"/>
    <s v="8574"/>
  </r>
  <r>
    <x v="7"/>
    <x v="82"/>
    <s v="8575"/>
  </r>
  <r>
    <x v="7"/>
    <x v="82"/>
    <s v="8576"/>
  </r>
  <r>
    <x v="7"/>
    <x v="83"/>
    <s v="8585"/>
  </r>
  <r>
    <x v="7"/>
    <x v="83"/>
    <s v="8586"/>
  </r>
  <r>
    <x v="7"/>
    <x v="83"/>
    <s v="8587"/>
  </r>
  <r>
    <x v="7"/>
    <x v="53"/>
    <s v="8590"/>
  </r>
  <r>
    <x v="7"/>
    <x v="81"/>
    <s v="8592"/>
  </r>
  <r>
    <x v="7"/>
    <x v="53"/>
    <s v="8596"/>
  </r>
  <r>
    <x v="7"/>
    <x v="53"/>
    <s v="8597"/>
  </r>
  <r>
    <x v="7"/>
    <x v="53"/>
    <s v="8598"/>
  </r>
  <r>
    <x v="7"/>
    <x v="53"/>
    <s v="8599"/>
  </r>
  <r>
    <x v="7"/>
    <x v="53"/>
    <s v="8600"/>
  </r>
  <r>
    <x v="7"/>
    <x v="53"/>
    <s v="8601"/>
  </r>
  <r>
    <x v="7"/>
    <x v="80"/>
    <s v="8602"/>
  </r>
  <r>
    <x v="7"/>
    <x v="80"/>
    <s v="8603"/>
  </r>
  <r>
    <x v="6"/>
    <x v="56"/>
    <s v="8604"/>
  </r>
  <r>
    <x v="6"/>
    <x v="56"/>
    <s v="8606"/>
  </r>
  <r>
    <x v="6"/>
    <x v="56"/>
    <s v="8607"/>
  </r>
  <r>
    <x v="6"/>
    <x v="56"/>
    <s v="8608"/>
  </r>
  <r>
    <x v="6"/>
    <x v="56"/>
    <s v="8610"/>
  </r>
  <r>
    <x v="6"/>
    <x v="56"/>
    <s v="8611"/>
  </r>
  <r>
    <x v="7"/>
    <x v="53"/>
    <s v="8612"/>
  </r>
  <r>
    <x v="7"/>
    <x v="81"/>
    <s v="8613"/>
  </r>
  <r>
    <x v="7"/>
    <x v="81"/>
    <s v="8614"/>
  </r>
  <r>
    <x v="7"/>
    <x v="81"/>
    <s v="8615"/>
  </r>
  <r>
    <x v="7"/>
    <x v="81"/>
    <s v="8616"/>
  </r>
  <r>
    <x v="7"/>
    <x v="81"/>
    <s v="8617"/>
  </r>
  <r>
    <x v="7"/>
    <x v="81"/>
    <s v="8618"/>
  </r>
  <r>
    <x v="7"/>
    <x v="80"/>
    <s v="8619"/>
  </r>
  <r>
    <x v="7"/>
    <x v="80"/>
    <s v="8621"/>
  </r>
  <r>
    <x v="7"/>
    <x v="80"/>
    <s v="8622"/>
  </r>
  <r>
    <x v="7"/>
    <x v="80"/>
    <s v="8624"/>
  </r>
  <r>
    <x v="6"/>
    <x v="63"/>
    <s v="8628"/>
  </r>
  <r>
    <x v="6"/>
    <x v="63"/>
    <s v="8631"/>
  </r>
  <r>
    <x v="6"/>
    <x v="63"/>
    <s v="8632"/>
  </r>
  <r>
    <x v="7"/>
    <x v="80"/>
    <s v="8634"/>
  </r>
  <r>
    <x v="7"/>
    <x v="80"/>
    <s v="8636"/>
  </r>
  <r>
    <x v="7"/>
    <x v="80"/>
    <s v="8639"/>
  </r>
  <r>
    <x v="9"/>
    <x v="84"/>
    <s v="8642"/>
  </r>
  <r>
    <x v="9"/>
    <x v="84"/>
    <s v="8644"/>
  </r>
  <r>
    <x v="9"/>
    <x v="84"/>
    <s v="8645"/>
  </r>
  <r>
    <x v="9"/>
    <x v="85"/>
    <s v="8648"/>
  </r>
  <r>
    <x v="9"/>
    <x v="85"/>
    <s v="8649"/>
  </r>
  <r>
    <x v="9"/>
    <x v="85"/>
    <s v="8650"/>
  </r>
  <r>
    <x v="9"/>
    <x v="85"/>
    <s v="8651"/>
  </r>
  <r>
    <x v="9"/>
    <x v="85"/>
    <s v="8660"/>
  </r>
  <r>
    <x v="9"/>
    <x v="85"/>
    <s v="8661"/>
  </r>
  <r>
    <x v="9"/>
    <x v="85"/>
    <s v="8664"/>
  </r>
  <r>
    <x v="9"/>
    <x v="85"/>
    <s v="8665"/>
  </r>
  <r>
    <x v="9"/>
    <x v="85"/>
    <s v="8667"/>
  </r>
  <r>
    <x v="9"/>
    <x v="86"/>
    <s v="8668"/>
  </r>
  <r>
    <x v="9"/>
    <x v="86"/>
    <s v="8669"/>
  </r>
  <r>
    <x v="9"/>
    <x v="86"/>
    <s v="8671"/>
  </r>
  <r>
    <x v="9"/>
    <x v="86"/>
    <s v="8672"/>
  </r>
  <r>
    <x v="9"/>
    <x v="86"/>
    <s v="8674"/>
  </r>
  <r>
    <x v="9"/>
    <x v="86"/>
    <s v="8676"/>
  </r>
  <r>
    <x v="9"/>
    <x v="86"/>
    <s v="8679"/>
  </r>
  <r>
    <x v="9"/>
    <x v="85"/>
    <s v="8685"/>
  </r>
  <r>
    <x v="9"/>
    <x v="85"/>
    <s v="8689"/>
  </r>
  <r>
    <x v="9"/>
    <x v="86"/>
    <s v="8692"/>
  </r>
  <r>
    <x v="9"/>
    <x v="86"/>
    <s v="8693"/>
  </r>
  <r>
    <x v="9"/>
    <x v="86"/>
    <s v="8695"/>
  </r>
  <r>
    <x v="9"/>
    <x v="86"/>
    <s v="8700"/>
  </r>
  <r>
    <x v="9"/>
    <x v="86"/>
    <s v="8701"/>
  </r>
  <r>
    <x v="9"/>
    <x v="86"/>
    <s v="8703"/>
  </r>
  <r>
    <x v="9"/>
    <x v="86"/>
    <s v="8705"/>
  </r>
  <r>
    <x v="9"/>
    <x v="75"/>
    <s v="8710"/>
  </r>
  <r>
    <x v="9"/>
    <x v="75"/>
    <s v="8711"/>
  </r>
  <r>
    <x v="9"/>
    <x v="84"/>
    <s v="8714"/>
  </r>
  <r>
    <x v="9"/>
    <x v="84"/>
    <s v="8715"/>
  </r>
  <r>
    <x v="9"/>
    <x v="75"/>
    <s v="8716"/>
  </r>
  <r>
    <x v="9"/>
    <x v="84"/>
    <s v="8718"/>
  </r>
  <r>
    <x v="9"/>
    <x v="84"/>
    <s v="8721"/>
  </r>
  <r>
    <x v="9"/>
    <x v="84"/>
    <s v="8722"/>
  </r>
  <r>
    <x v="9"/>
    <x v="84"/>
    <s v="8723"/>
  </r>
  <r>
    <x v="9"/>
    <x v="84"/>
    <s v="8724"/>
  </r>
  <r>
    <x v="9"/>
    <x v="84"/>
    <s v="8728"/>
  </r>
  <r>
    <x v="9"/>
    <x v="84"/>
    <s v="8730"/>
  </r>
  <r>
    <x v="9"/>
    <x v="84"/>
    <s v="8732"/>
  </r>
  <r>
    <x v="9"/>
    <x v="84"/>
    <s v="8733"/>
  </r>
  <r>
    <x v="9"/>
    <x v="84"/>
    <s v="8734"/>
  </r>
  <r>
    <x v="9"/>
    <x v="84"/>
    <s v="8735"/>
  </r>
  <r>
    <x v="9"/>
    <x v="84"/>
    <s v="8736"/>
  </r>
  <r>
    <x v="8"/>
    <x v="87"/>
    <s v="8738"/>
  </r>
  <r>
    <x v="8"/>
    <x v="88"/>
    <s v="8739"/>
  </r>
  <r>
    <x v="8"/>
    <x v="88"/>
    <s v="8740"/>
  </r>
  <r>
    <x v="8"/>
    <x v="88"/>
    <s v="8741"/>
  </r>
  <r>
    <x v="8"/>
    <x v="88"/>
    <s v="8742"/>
  </r>
  <r>
    <x v="7"/>
    <x v="89"/>
    <s v="8745"/>
  </r>
  <r>
    <x v="7"/>
    <x v="90"/>
    <s v="8747"/>
  </r>
  <r>
    <x v="7"/>
    <x v="90"/>
    <s v="8748"/>
  </r>
  <r>
    <x v="8"/>
    <x v="88"/>
    <s v="8749"/>
  </r>
  <r>
    <x v="8"/>
    <x v="88"/>
    <s v="8750"/>
  </r>
  <r>
    <x v="8"/>
    <x v="88"/>
    <s v="8751"/>
  </r>
  <r>
    <x v="8"/>
    <x v="88"/>
    <s v="8752"/>
  </r>
  <r>
    <x v="8"/>
    <x v="91"/>
    <s v="8754"/>
  </r>
  <r>
    <x v="8"/>
    <x v="91"/>
    <s v="8755"/>
  </r>
  <r>
    <x v="8"/>
    <x v="88"/>
    <s v="8757"/>
  </r>
  <r>
    <x v="8"/>
    <x v="88"/>
    <s v="8759"/>
  </r>
  <r>
    <x v="8"/>
    <x v="88"/>
    <s v="8763"/>
  </r>
  <r>
    <x v="8"/>
    <x v="91"/>
    <s v="8765"/>
  </r>
  <r>
    <x v="8"/>
    <x v="91"/>
    <s v="8766"/>
  </r>
  <r>
    <x v="8"/>
    <x v="91"/>
    <s v="8767"/>
  </r>
  <r>
    <x v="8"/>
    <x v="91"/>
    <s v="8769"/>
  </r>
  <r>
    <x v="8"/>
    <x v="88"/>
    <s v="8770"/>
  </r>
  <r>
    <x v="8"/>
    <x v="88"/>
    <s v="8771"/>
  </r>
  <r>
    <x v="8"/>
    <x v="91"/>
    <s v="8772"/>
  </r>
  <r>
    <x v="8"/>
    <x v="91"/>
    <s v="8774"/>
  </r>
  <r>
    <x v="8"/>
    <x v="91"/>
    <s v="8775"/>
  </r>
  <r>
    <x v="8"/>
    <x v="91"/>
    <s v="8777"/>
  </r>
  <r>
    <x v="8"/>
    <x v="91"/>
    <s v="8778"/>
  </r>
  <r>
    <x v="8"/>
    <x v="91"/>
    <s v="8779"/>
  </r>
  <r>
    <x v="8"/>
    <x v="91"/>
    <s v="8781"/>
  </r>
  <r>
    <x v="8"/>
    <x v="91"/>
    <s v="8783"/>
  </r>
  <r>
    <x v="8"/>
    <x v="91"/>
    <s v="8784"/>
  </r>
  <r>
    <x v="8"/>
    <x v="91"/>
    <s v="8785"/>
  </r>
  <r>
    <x v="8"/>
    <x v="91"/>
    <s v="8786"/>
  </r>
  <r>
    <x v="8"/>
    <x v="87"/>
    <s v="8787"/>
  </r>
  <r>
    <x v="8"/>
    <x v="91"/>
    <s v="8788"/>
  </r>
  <r>
    <x v="7"/>
    <x v="92"/>
    <s v="8789"/>
  </r>
  <r>
    <x v="7"/>
    <x v="92"/>
    <s v="8790"/>
  </r>
  <r>
    <x v="7"/>
    <x v="92"/>
    <s v="8791"/>
  </r>
  <r>
    <x v="7"/>
    <x v="90"/>
    <s v="8792"/>
  </r>
  <r>
    <x v="7"/>
    <x v="90"/>
    <s v="8793"/>
  </r>
  <r>
    <x v="7"/>
    <x v="90"/>
    <s v="8794"/>
  </r>
  <r>
    <x v="7"/>
    <x v="90"/>
    <s v="8795"/>
  </r>
  <r>
    <x v="7"/>
    <x v="92"/>
    <s v="8799"/>
  </r>
  <r>
    <x v="7"/>
    <x v="90"/>
    <s v="8800"/>
  </r>
  <r>
    <x v="7"/>
    <x v="90"/>
    <s v="8801"/>
  </r>
  <r>
    <x v="7"/>
    <x v="53"/>
    <s v="8802"/>
  </r>
  <r>
    <x v="7"/>
    <x v="92"/>
    <s v="8803"/>
  </r>
  <r>
    <x v="7"/>
    <x v="90"/>
    <s v="8804"/>
  </r>
  <r>
    <x v="7"/>
    <x v="90"/>
    <s v="8805"/>
  </r>
  <r>
    <x v="7"/>
    <x v="90"/>
    <s v="8806"/>
  </r>
  <r>
    <x v="7"/>
    <x v="90"/>
    <s v="8807"/>
  </r>
  <r>
    <x v="7"/>
    <x v="92"/>
    <s v="8808"/>
  </r>
  <r>
    <x v="7"/>
    <x v="92"/>
    <s v="8809"/>
  </r>
  <r>
    <x v="7"/>
    <x v="92"/>
    <s v="8810"/>
  </r>
  <r>
    <x v="7"/>
    <x v="92"/>
    <s v="8811"/>
  </r>
  <r>
    <x v="7"/>
    <x v="53"/>
    <s v="8812"/>
  </r>
  <r>
    <x v="7"/>
    <x v="89"/>
    <s v="8813"/>
  </r>
  <r>
    <x v="7"/>
    <x v="89"/>
    <s v="8814"/>
  </r>
  <r>
    <x v="7"/>
    <x v="89"/>
    <s v="8815"/>
  </r>
  <r>
    <x v="7"/>
    <x v="93"/>
    <s v="8816"/>
  </r>
  <r>
    <x v="7"/>
    <x v="93"/>
    <s v="8817"/>
  </r>
  <r>
    <x v="7"/>
    <x v="93"/>
    <s v="8818"/>
  </r>
  <r>
    <x v="7"/>
    <x v="89"/>
    <s v="8819"/>
  </r>
  <r>
    <x v="7"/>
    <x v="89"/>
    <s v="8821"/>
  </r>
  <r>
    <x v="7"/>
    <x v="89"/>
    <s v="8825"/>
  </r>
  <r>
    <x v="7"/>
    <x v="89"/>
    <s v="8826"/>
  </r>
  <r>
    <x v="8"/>
    <x v="88"/>
    <s v="8827"/>
  </r>
  <r>
    <x v="7"/>
    <x v="89"/>
    <s v="8832"/>
  </r>
  <r>
    <x v="7"/>
    <x v="89"/>
    <s v="8833"/>
  </r>
  <r>
    <x v="7"/>
    <x v="89"/>
    <s v="8834"/>
  </r>
  <r>
    <x v="7"/>
    <x v="89"/>
    <s v="8836"/>
  </r>
  <r>
    <x v="7"/>
    <x v="90"/>
    <s v="8837"/>
  </r>
  <r>
    <x v="7"/>
    <x v="90"/>
    <s v="8838"/>
  </r>
  <r>
    <x v="7"/>
    <x v="90"/>
    <s v="8839"/>
  </r>
  <r>
    <x v="7"/>
    <x v="94"/>
    <s v="8841"/>
  </r>
  <r>
    <x v="7"/>
    <x v="94"/>
    <s v="8842"/>
  </r>
  <r>
    <x v="7"/>
    <x v="94"/>
    <s v="8847"/>
  </r>
  <r>
    <x v="7"/>
    <x v="94"/>
    <s v="8851"/>
  </r>
  <r>
    <x v="7"/>
    <x v="94"/>
    <s v="8852"/>
  </r>
  <r>
    <x v="7"/>
    <x v="93"/>
    <s v="8853"/>
  </r>
  <r>
    <x v="7"/>
    <x v="93"/>
    <s v="8855"/>
  </r>
  <r>
    <x v="7"/>
    <x v="94"/>
    <s v="8856"/>
  </r>
  <r>
    <x v="7"/>
    <x v="94"/>
    <s v="8857"/>
  </r>
  <r>
    <x v="7"/>
    <x v="94"/>
    <s v="8858"/>
  </r>
  <r>
    <x v="7"/>
    <x v="94"/>
    <s v="8860"/>
  </r>
  <r>
    <x v="7"/>
    <x v="94"/>
    <s v="8861"/>
  </r>
  <r>
    <x v="7"/>
    <x v="94"/>
    <s v="8865"/>
  </r>
  <r>
    <x v="8"/>
    <x v="87"/>
    <s v="8867"/>
  </r>
  <r>
    <x v="8"/>
    <x v="87"/>
    <s v="8868"/>
  </r>
  <r>
    <x v="8"/>
    <x v="87"/>
    <s v="8869"/>
  </r>
  <r>
    <x v="8"/>
    <x v="87"/>
    <s v="8870"/>
  </r>
  <r>
    <x v="8"/>
    <x v="87"/>
    <s v="8871"/>
  </r>
  <r>
    <x v="8"/>
    <x v="87"/>
    <s v="8872"/>
  </r>
  <r>
    <x v="8"/>
    <x v="87"/>
    <s v="8873"/>
  </r>
  <r>
    <x v="8"/>
    <x v="87"/>
    <s v="8874"/>
  </r>
  <r>
    <x v="8"/>
    <x v="87"/>
    <s v="8875"/>
  </r>
  <r>
    <x v="8"/>
    <x v="87"/>
    <s v="8876"/>
  </r>
  <r>
    <x v="8"/>
    <x v="87"/>
    <s v="8877"/>
  </r>
  <r>
    <x v="8"/>
    <x v="87"/>
    <s v="8878"/>
  </r>
  <r>
    <x v="8"/>
    <x v="87"/>
    <s v="8879"/>
  </r>
  <r>
    <x v="8"/>
    <x v="87"/>
    <s v="8881"/>
  </r>
  <r>
    <x v="8"/>
    <x v="95"/>
    <s v="8886"/>
  </r>
  <r>
    <x v="8"/>
    <x v="95"/>
    <s v="8887"/>
  </r>
  <r>
    <x v="8"/>
    <x v="95"/>
    <s v="8888"/>
  </r>
  <r>
    <x v="8"/>
    <x v="95"/>
    <s v="8891"/>
  </r>
  <r>
    <x v="8"/>
    <x v="95"/>
    <s v="8892"/>
  </r>
  <r>
    <x v="8"/>
    <x v="95"/>
    <s v="8893"/>
  </r>
  <r>
    <x v="8"/>
    <x v="95"/>
    <s v="8894"/>
  </r>
  <r>
    <x v="8"/>
    <x v="95"/>
    <s v="8895"/>
  </r>
  <r>
    <x v="8"/>
    <x v="95"/>
    <s v="8896"/>
  </r>
  <r>
    <x v="8"/>
    <x v="96"/>
    <s v="8897"/>
  </r>
  <r>
    <x v="8"/>
    <x v="95"/>
    <s v="8899"/>
  </r>
  <r>
    <x v="8"/>
    <x v="95"/>
    <s v="8900"/>
  </r>
  <r>
    <x v="8"/>
    <x v="95"/>
    <s v="8901"/>
  </r>
  <r>
    <x v="8"/>
    <x v="95"/>
    <s v="8902"/>
  </r>
  <r>
    <x v="8"/>
    <x v="95"/>
    <s v="8903"/>
  </r>
  <r>
    <x v="7"/>
    <x v="68"/>
    <s v="8904"/>
  </r>
  <r>
    <x v="8"/>
    <x v="97"/>
    <s v="8905"/>
  </r>
  <r>
    <x v="8"/>
    <x v="97"/>
    <s v="8906"/>
  </r>
  <r>
    <x v="8"/>
    <x v="97"/>
    <s v="8907"/>
  </r>
  <r>
    <x v="8"/>
    <x v="97"/>
    <s v="8908"/>
  </r>
  <r>
    <x v="8"/>
    <x v="97"/>
    <s v="8909"/>
  </r>
  <r>
    <x v="8"/>
    <x v="87"/>
    <s v="8910"/>
  </r>
  <r>
    <x v="8"/>
    <x v="87"/>
    <s v="8911"/>
  </r>
  <r>
    <x v="8"/>
    <x v="97"/>
    <s v="8912"/>
  </r>
  <r>
    <x v="8"/>
    <x v="95"/>
    <s v="8913"/>
  </r>
  <r>
    <x v="8"/>
    <x v="87"/>
    <s v="8914"/>
  </r>
  <r>
    <x v="8"/>
    <x v="87"/>
    <s v="8915"/>
  </r>
  <r>
    <x v="8"/>
    <x v="97"/>
    <s v="8916"/>
  </r>
  <r>
    <x v="8"/>
    <x v="97"/>
    <s v="8917"/>
  </r>
  <r>
    <x v="8"/>
    <x v="97"/>
    <s v="8918"/>
  </r>
  <r>
    <x v="8"/>
    <x v="87"/>
    <s v="8920"/>
  </r>
  <r>
    <x v="8"/>
    <x v="97"/>
    <s v="8921"/>
  </r>
  <r>
    <x v="8"/>
    <x v="97"/>
    <s v="8922"/>
  </r>
  <r>
    <x v="8"/>
    <x v="96"/>
    <s v="8925"/>
  </r>
  <r>
    <x v="8"/>
    <x v="96"/>
    <s v="8926"/>
  </r>
  <r>
    <x v="8"/>
    <x v="96"/>
    <s v="8928"/>
  </r>
  <r>
    <x v="8"/>
    <x v="96"/>
    <s v="8929"/>
  </r>
  <r>
    <x v="8"/>
    <x v="96"/>
    <s v="8930"/>
  </r>
  <r>
    <x v="8"/>
    <x v="96"/>
    <s v="8931"/>
  </r>
  <r>
    <x v="8"/>
    <x v="96"/>
    <s v="8932"/>
  </r>
  <r>
    <x v="8"/>
    <x v="96"/>
    <s v="8933"/>
  </r>
  <r>
    <x v="8"/>
    <x v="96"/>
    <s v="8934"/>
  </r>
  <r>
    <x v="5"/>
    <x v="51"/>
    <s v="8935"/>
  </r>
  <r>
    <x v="8"/>
    <x v="96"/>
    <s v="8937"/>
  </r>
  <r>
    <x v="8"/>
    <x v="96"/>
    <s v="8938"/>
  </r>
  <r>
    <x v="5"/>
    <x v="51"/>
    <s v="8939"/>
  </r>
  <r>
    <x v="5"/>
    <x v="51"/>
    <s v="8940"/>
  </r>
  <r>
    <x v="5"/>
    <x v="51"/>
    <s v="8941"/>
  </r>
  <r>
    <x v="8"/>
    <x v="54"/>
    <s v="8942"/>
  </r>
  <r>
    <x v="8"/>
    <x v="54"/>
    <s v="8943"/>
  </r>
  <r>
    <x v="8"/>
    <x v="54"/>
    <s v="8944"/>
  </r>
  <r>
    <x v="8"/>
    <x v="54"/>
    <s v="8945"/>
  </r>
  <r>
    <x v="5"/>
    <x v="98"/>
    <s v="8946"/>
  </r>
  <r>
    <x v="8"/>
    <x v="96"/>
    <s v="8947"/>
  </r>
  <r>
    <x v="8"/>
    <x v="96"/>
    <s v="8949"/>
  </r>
  <r>
    <x v="8"/>
    <x v="96"/>
    <s v="8950"/>
  </r>
  <r>
    <x v="8"/>
    <x v="96"/>
    <s v="8951"/>
  </r>
  <r>
    <x v="5"/>
    <x v="98"/>
    <s v="8952"/>
  </r>
  <r>
    <x v="8"/>
    <x v="96"/>
    <s v="8953"/>
  </r>
  <r>
    <x v="5"/>
    <x v="98"/>
    <s v="8954"/>
  </r>
  <r>
    <x v="5"/>
    <x v="98"/>
    <s v="8955"/>
  </r>
  <r>
    <x v="8"/>
    <x v="99"/>
    <s v="8956"/>
  </r>
  <r>
    <x v="5"/>
    <x v="98"/>
    <s v="8957"/>
  </r>
  <r>
    <x v="8"/>
    <x v="99"/>
    <s v="8959"/>
  </r>
  <r>
    <x v="8"/>
    <x v="99"/>
    <s v="8960"/>
  </r>
  <r>
    <x v="5"/>
    <x v="98"/>
    <s v="8961"/>
  </r>
  <r>
    <x v="5"/>
    <x v="98"/>
    <s v="8962"/>
  </r>
  <r>
    <x v="5"/>
    <x v="98"/>
    <s v="8963"/>
  </r>
  <r>
    <x v="5"/>
    <x v="98"/>
    <s v="8964"/>
  </r>
  <r>
    <x v="5"/>
    <x v="98"/>
    <s v="8965"/>
  </r>
  <r>
    <x v="5"/>
    <x v="98"/>
    <s v="8966"/>
  </r>
  <r>
    <x v="5"/>
    <x v="98"/>
    <s v="8968"/>
  </r>
  <r>
    <x v="5"/>
    <x v="98"/>
    <s v="8969"/>
  </r>
  <r>
    <x v="5"/>
    <x v="98"/>
    <s v="8971"/>
  </r>
  <r>
    <x v="5"/>
    <x v="98"/>
    <s v="8972"/>
  </r>
  <r>
    <x v="5"/>
    <x v="98"/>
    <s v="8973"/>
  </r>
  <r>
    <x v="5"/>
    <x v="98"/>
    <s v="8974"/>
  </r>
  <r>
    <x v="5"/>
    <x v="98"/>
    <s v="8975"/>
  </r>
  <r>
    <x v="5"/>
    <x v="98"/>
    <s v="8976"/>
  </r>
  <r>
    <x v="8"/>
    <x v="96"/>
    <s v="8977"/>
  </r>
  <r>
    <x v="5"/>
    <x v="98"/>
    <s v="8978"/>
  </r>
  <r>
    <x v="5"/>
    <x v="98"/>
    <s v="8979"/>
  </r>
  <r>
    <x v="5"/>
    <x v="98"/>
    <s v="8980"/>
  </r>
  <r>
    <x v="5"/>
    <x v="51"/>
    <s v="8981"/>
  </r>
  <r>
    <x v="5"/>
    <x v="98"/>
    <s v="8982"/>
  </r>
  <r>
    <x v="5"/>
    <x v="51"/>
    <s v="8983"/>
  </r>
  <r>
    <x v="5"/>
    <x v="51"/>
    <s v="8985"/>
  </r>
  <r>
    <x v="5"/>
    <x v="98"/>
    <s v="8986"/>
  </r>
  <r>
    <x v="8"/>
    <x v="96"/>
    <s v="8987"/>
  </r>
  <r>
    <x v="5"/>
    <x v="100"/>
    <s v="8988"/>
  </r>
  <r>
    <x v="5"/>
    <x v="100"/>
    <s v="8989"/>
  </r>
  <r>
    <x v="5"/>
    <x v="100"/>
    <s v="8990"/>
  </r>
  <r>
    <x v="5"/>
    <x v="100"/>
    <s v="8992"/>
  </r>
  <r>
    <x v="5"/>
    <x v="100"/>
    <s v="8993"/>
  </r>
  <r>
    <x v="5"/>
    <x v="100"/>
    <s v="8994"/>
  </r>
  <r>
    <x v="5"/>
    <x v="100"/>
    <s v="8995"/>
  </r>
  <r>
    <x v="5"/>
    <x v="100"/>
    <s v="8996"/>
  </r>
  <r>
    <x v="5"/>
    <x v="100"/>
    <s v="8997"/>
  </r>
  <r>
    <x v="5"/>
    <x v="100"/>
    <s v="8998"/>
  </r>
  <r>
    <x v="5"/>
    <x v="100"/>
    <s v="8999"/>
  </r>
  <r>
    <x v="5"/>
    <x v="100"/>
    <s v="9000"/>
  </r>
  <r>
    <x v="5"/>
    <x v="100"/>
    <s v="9001"/>
  </r>
  <r>
    <x v="5"/>
    <x v="100"/>
    <s v="9002"/>
  </r>
  <r>
    <x v="5"/>
    <x v="100"/>
    <s v="9003"/>
  </r>
  <r>
    <x v="5"/>
    <x v="100"/>
    <s v="9004"/>
  </r>
  <r>
    <x v="5"/>
    <x v="100"/>
    <s v="9005"/>
  </r>
  <r>
    <x v="5"/>
    <x v="100"/>
    <s v="9006"/>
  </r>
  <r>
    <x v="5"/>
    <x v="100"/>
    <s v="9008"/>
  </r>
  <r>
    <x v="5"/>
    <x v="100"/>
    <s v="9009"/>
  </r>
  <r>
    <x v="5"/>
    <x v="101"/>
    <s v="9010"/>
  </r>
  <r>
    <x v="5"/>
    <x v="101"/>
    <s v="9011"/>
  </r>
  <r>
    <x v="5"/>
    <x v="101"/>
    <s v="9012"/>
  </r>
  <r>
    <x v="5"/>
    <x v="101"/>
    <s v="9013"/>
  </r>
  <r>
    <x v="5"/>
    <x v="101"/>
    <s v="9014"/>
  </r>
  <r>
    <x v="5"/>
    <x v="101"/>
    <s v="9015"/>
  </r>
  <r>
    <x v="8"/>
    <x v="99"/>
    <s v="9016"/>
  </r>
  <r>
    <x v="5"/>
    <x v="101"/>
    <s v="9017"/>
  </r>
  <r>
    <x v="5"/>
    <x v="101"/>
    <s v="9018"/>
  </r>
  <r>
    <x v="5"/>
    <x v="101"/>
    <s v="9021"/>
  </r>
  <r>
    <x v="5"/>
    <x v="101"/>
    <s v="9022"/>
  </r>
  <r>
    <x v="5"/>
    <x v="101"/>
    <s v="9023"/>
  </r>
  <r>
    <x v="5"/>
    <x v="101"/>
    <s v="9024"/>
  </r>
  <r>
    <x v="5"/>
    <x v="100"/>
    <s v="9025"/>
  </r>
  <r>
    <x v="5"/>
    <x v="101"/>
    <s v="9027"/>
  </r>
  <r>
    <x v="5"/>
    <x v="100"/>
    <s v="9028"/>
  </r>
  <r>
    <x v="5"/>
    <x v="101"/>
    <s v="9029"/>
  </r>
  <r>
    <x v="8"/>
    <x v="99"/>
    <s v="9032"/>
  </r>
  <r>
    <x v="8"/>
    <x v="95"/>
    <s v="9035"/>
  </r>
  <r>
    <x v="8"/>
    <x v="99"/>
    <s v="9036"/>
  </r>
  <r>
    <x v="5"/>
    <x v="98"/>
    <s v="9037"/>
  </r>
  <r>
    <x v="8"/>
    <x v="99"/>
    <s v="9038"/>
  </r>
  <r>
    <x v="8"/>
    <x v="99"/>
    <s v="9040"/>
  </r>
  <r>
    <x v="8"/>
    <x v="99"/>
    <s v="9041"/>
  </r>
  <r>
    <x v="8"/>
    <x v="99"/>
    <s v="9042"/>
  </r>
  <r>
    <x v="8"/>
    <x v="99"/>
    <s v="9044"/>
  </r>
  <r>
    <x v="8"/>
    <x v="99"/>
    <s v="9045"/>
  </r>
  <r>
    <x v="8"/>
    <x v="99"/>
    <s v="9046"/>
  </r>
  <r>
    <x v="8"/>
    <x v="99"/>
    <s v="9047"/>
  </r>
  <r>
    <x v="8"/>
    <x v="99"/>
    <s v="9048"/>
  </r>
  <r>
    <x v="8"/>
    <x v="99"/>
    <s v="9049"/>
  </r>
  <r>
    <x v="8"/>
    <x v="99"/>
    <s v="9050"/>
  </r>
  <r>
    <x v="8"/>
    <x v="99"/>
    <s v="9051"/>
  </r>
  <r>
    <x v="8"/>
    <x v="99"/>
    <s v="9052"/>
  </r>
  <r>
    <x v="8"/>
    <x v="99"/>
    <s v="9053"/>
  </r>
  <r>
    <x v="8"/>
    <x v="99"/>
    <s v="9054"/>
  </r>
  <r>
    <x v="8"/>
    <x v="99"/>
    <s v="9055"/>
  </r>
  <r>
    <x v="5"/>
    <x v="101"/>
    <s v="9056"/>
  </r>
  <r>
    <x v="5"/>
    <x v="101"/>
    <s v="9057"/>
  </r>
  <r>
    <x v="8"/>
    <x v="99"/>
    <s v="9058"/>
  </r>
  <r>
    <x v="8"/>
    <x v="99"/>
    <s v="9059"/>
  </r>
  <r>
    <x v="5"/>
    <x v="101"/>
    <s v="9060"/>
  </r>
  <r>
    <x v="5"/>
    <x v="101"/>
    <s v="9061"/>
  </r>
  <r>
    <x v="8"/>
    <x v="99"/>
    <s v="9062"/>
  </r>
  <r>
    <x v="9"/>
    <x v="78"/>
    <s v="9063"/>
  </r>
  <r>
    <x v="2"/>
    <x v="21"/>
    <s v="9066"/>
  </r>
  <r>
    <x v="5"/>
    <x v="51"/>
    <s v="9067"/>
  </r>
  <r>
    <x v="1"/>
    <x v="10"/>
    <s v="9068"/>
  </r>
  <r>
    <x v="2"/>
    <x v="23"/>
    <s v="9070"/>
  </r>
  <r>
    <x v="1"/>
    <x v="10"/>
    <s v="9072"/>
  </r>
  <r>
    <x v="8"/>
    <x v="97"/>
    <s v="9073"/>
  </r>
  <r>
    <x v="1"/>
    <x v="10"/>
    <s v="9074"/>
  </r>
  <r>
    <x v="4"/>
    <x v="45"/>
    <s v="9075"/>
  </r>
  <r>
    <x v="9"/>
    <x v="72"/>
    <s v="9076"/>
  </r>
  <r>
    <x v="6"/>
    <x v="52"/>
    <s v="9077"/>
  </r>
  <r>
    <x v="6"/>
    <x v="65"/>
    <s v="9078"/>
  </r>
  <r>
    <x v="7"/>
    <x v="81"/>
    <s v="9079"/>
  </r>
  <r>
    <x v="1"/>
    <x v="31"/>
    <s v="9080"/>
  </r>
  <r>
    <x v="0"/>
    <x v="18"/>
    <s v="9081"/>
  </r>
  <r>
    <x v="3"/>
    <x v="37"/>
    <s v="9082"/>
  </r>
  <r>
    <x v="1"/>
    <x v="13"/>
    <s v="9083"/>
  </r>
  <r>
    <x v="1"/>
    <x v="12"/>
    <s v="9084"/>
  </r>
  <r>
    <x v="7"/>
    <x v="82"/>
    <s v="9085"/>
  </r>
  <r>
    <x v="5"/>
    <x v="50"/>
    <s v="9087"/>
  </r>
  <r>
    <x v="6"/>
    <x v="60"/>
    <s v="9088"/>
  </r>
  <r>
    <x v="1"/>
    <x v="14"/>
    <s v="9089"/>
  </r>
  <r>
    <x v="6"/>
    <x v="59"/>
    <s v="9090"/>
  </r>
  <r>
    <x v="7"/>
    <x v="92"/>
    <s v="9091"/>
  </r>
  <r>
    <x v="5"/>
    <x v="48"/>
    <s v="9092"/>
  </r>
  <r>
    <x v="4"/>
    <x v="43"/>
    <s v="9093"/>
  </r>
  <r>
    <x v="1"/>
    <x v="13"/>
    <s v="9094"/>
  </r>
  <r>
    <x v="6"/>
    <x v="58"/>
    <s v="9096"/>
  </r>
  <r>
    <x v="6"/>
    <x v="59"/>
    <s v="9097"/>
  </r>
  <r>
    <x v="1"/>
    <x v="30"/>
    <s v="9098"/>
  </r>
  <r>
    <x v="8"/>
    <x v="97"/>
    <s v="9099"/>
  </r>
  <r>
    <x v="5"/>
    <x v="48"/>
    <s v="9100"/>
  </r>
  <r>
    <x v="9"/>
    <x v="77"/>
    <s v="9101"/>
  </r>
  <r>
    <x v="6"/>
    <x v="57"/>
    <s v="9102"/>
  </r>
  <r>
    <x v="1"/>
    <x v="30"/>
    <s v="9103"/>
  </r>
  <r>
    <x v="6"/>
    <x v="55"/>
    <s v="9104"/>
  </r>
  <r>
    <x v="2"/>
    <x v="19"/>
    <s v="9105"/>
  </r>
  <r>
    <x v="8"/>
    <x v="97"/>
    <s v="9106"/>
  </r>
  <r>
    <x v="9"/>
    <x v="69"/>
    <s v="9107"/>
  </r>
  <r>
    <x v="2"/>
    <x v="19"/>
    <s v="9108"/>
  </r>
  <r>
    <x v="2"/>
    <x v="32"/>
    <s v="9109"/>
  </r>
  <r>
    <x v="9"/>
    <x v="73"/>
    <s v="9110"/>
  </r>
  <r>
    <x v="2"/>
    <x v="26"/>
    <s v="9111"/>
  </r>
  <r>
    <x v="1"/>
    <x v="17"/>
    <s v="9113"/>
  </r>
  <r>
    <x v="8"/>
    <x v="54"/>
    <s v="9114"/>
  </r>
  <r>
    <x v="1"/>
    <x v="12"/>
    <s v="9115"/>
  </r>
  <r>
    <x v="5"/>
    <x v="51"/>
    <s v="9116"/>
  </r>
  <r>
    <x v="2"/>
    <x v="20"/>
    <s v="9117"/>
  </r>
  <r>
    <x v="4"/>
    <x v="45"/>
    <s v="9118"/>
  </r>
  <r>
    <x v="7"/>
    <x v="92"/>
    <s v="9119"/>
  </r>
  <r>
    <x v="8"/>
    <x v="97"/>
    <s v="9121"/>
  </r>
  <r>
    <x v="8"/>
    <x v="91"/>
    <s v="9122"/>
  </r>
  <r>
    <x v="7"/>
    <x v="53"/>
    <s v="9123"/>
  </r>
  <r>
    <x v="8"/>
    <x v="91"/>
    <s v="9124"/>
  </r>
  <r>
    <x v="7"/>
    <x v="92"/>
    <s v="9125"/>
  </r>
  <r>
    <x v="7"/>
    <x v="81"/>
    <s v="9126"/>
  </r>
  <r>
    <x v="9"/>
    <x v="84"/>
    <s v="9127"/>
  </r>
  <r>
    <x v="9"/>
    <x v="84"/>
    <s v="9129"/>
  </r>
  <r>
    <x v="7"/>
    <x v="89"/>
    <s v="9130"/>
  </r>
  <r>
    <x v="4"/>
    <x v="44"/>
    <s v="9131"/>
  </r>
  <r>
    <x v="6"/>
    <x v="56"/>
    <s v="9132"/>
  </r>
  <r>
    <x v="0"/>
    <x v="4"/>
    <s v="9133"/>
  </r>
  <r>
    <x v="1"/>
    <x v="12"/>
    <s v="9134"/>
  </r>
  <r>
    <x v="6"/>
    <x v="59"/>
    <s v="9135"/>
  </r>
  <r>
    <x v="9"/>
    <x v="74"/>
    <s v="9136"/>
  </r>
  <r>
    <x v="8"/>
    <x v="96"/>
    <s v="9137"/>
  </r>
  <r>
    <x v="8"/>
    <x v="97"/>
    <s v="9138"/>
  </r>
  <r>
    <x v="4"/>
    <x v="38"/>
    <s v="9139"/>
  </r>
  <r>
    <x v="0"/>
    <x v="18"/>
    <s v="9140"/>
  </r>
  <r>
    <x v="7"/>
    <x v="92"/>
    <s v="9141"/>
  </r>
  <r>
    <x v="4"/>
    <x v="44"/>
    <s v="9142"/>
  </r>
  <r>
    <x v="6"/>
    <x v="56"/>
    <s v="9143"/>
  </r>
  <r>
    <x v="2"/>
    <x v="23"/>
    <s v="9144"/>
  </r>
  <r>
    <x v="1"/>
    <x v="31"/>
    <s v="9145"/>
  </r>
  <r>
    <x v="6"/>
    <x v="60"/>
    <s v="9146"/>
  </r>
  <r>
    <x v="6"/>
    <x v="60"/>
    <s v="9147"/>
  </r>
  <r>
    <x v="4"/>
    <x v="44"/>
    <s v="9148"/>
  </r>
  <r>
    <x v="7"/>
    <x v="81"/>
    <s v="9149"/>
  </r>
  <r>
    <x v="6"/>
    <x v="63"/>
    <s v="9151"/>
  </r>
  <r>
    <x v="7"/>
    <x v="53"/>
    <s v="9152"/>
  </r>
  <r>
    <x v="8"/>
    <x v="87"/>
    <s v="9153"/>
  </r>
  <r>
    <x v="1"/>
    <x v="29"/>
    <s v="9154"/>
  </r>
  <r>
    <x v="1"/>
    <x v="29"/>
    <s v="9155"/>
  </r>
  <r>
    <x v="9"/>
    <x v="72"/>
    <s v="9157"/>
  </r>
  <r>
    <x v="6"/>
    <x v="60"/>
    <s v="9158"/>
  </r>
  <r>
    <x v="2"/>
    <x v="23"/>
    <s v="9160"/>
  </r>
  <r>
    <x v="0"/>
    <x v="1"/>
    <s v="9161"/>
  </r>
  <r>
    <x v="2"/>
    <x v="26"/>
    <s v="9162"/>
  </r>
  <r>
    <x v="5"/>
    <x v="50"/>
    <s v="9163"/>
  </r>
  <r>
    <x v="0"/>
    <x v="0"/>
    <s v="9164"/>
  </r>
  <r>
    <x v="0"/>
    <x v="0"/>
    <s v="9165"/>
  </r>
  <r>
    <x v="6"/>
    <x v="55"/>
    <s v="9166"/>
  </r>
  <r>
    <x v="7"/>
    <x v="90"/>
    <s v="9167"/>
  </r>
  <r>
    <x v="7"/>
    <x v="81"/>
    <s v="9168"/>
  </r>
  <r>
    <x v="0"/>
    <x v="1"/>
    <s v="9169"/>
  </r>
  <r>
    <x v="7"/>
    <x v="90"/>
    <s v="9170"/>
  </r>
  <r>
    <x v="6"/>
    <x v="67"/>
    <s v="9171"/>
  </r>
  <r>
    <x v="8"/>
    <x v="88"/>
    <s v="9172"/>
  </r>
  <r>
    <x v="6"/>
    <x v="64"/>
    <s v="9173"/>
  </r>
  <r>
    <x v="0"/>
    <x v="0"/>
    <s v="9174"/>
  </r>
  <r>
    <x v="0"/>
    <x v="3"/>
    <s v="9175"/>
  </r>
  <r>
    <x v="2"/>
    <x v="24"/>
    <s v="9176"/>
  </r>
  <r>
    <x v="2"/>
    <x v="24"/>
    <s v="9177"/>
  </r>
  <r>
    <x v="8"/>
    <x v="99"/>
    <s v="9178"/>
  </r>
  <r>
    <x v="9"/>
    <x v="75"/>
    <s v="9180"/>
  </r>
  <r>
    <x v="0"/>
    <x v="6"/>
    <s v="9181"/>
  </r>
  <r>
    <x v="0"/>
    <x v="4"/>
    <s v="9182"/>
  </r>
  <r>
    <x v="6"/>
    <x v="62"/>
    <s v="9183"/>
  </r>
  <r>
    <x v="9"/>
    <x v="71"/>
    <s v="9184"/>
  </r>
  <r>
    <x v="0"/>
    <x v="0"/>
    <s v="9185"/>
  </r>
  <r>
    <x v="1"/>
    <x v="28"/>
    <s v="9186"/>
  </r>
  <r>
    <x v="9"/>
    <x v="72"/>
    <s v="9187"/>
  </r>
  <r>
    <x v="5"/>
    <x v="48"/>
    <s v="9188"/>
  </r>
  <r>
    <x v="2"/>
    <x v="24"/>
    <s v="9189"/>
  </r>
  <r>
    <x v="0"/>
    <x v="2"/>
    <s v="9190"/>
  </r>
  <r>
    <x v="9"/>
    <x v="71"/>
    <s v="9191"/>
  </r>
  <r>
    <x v="2"/>
    <x v="24"/>
    <s v="9192"/>
  </r>
  <r>
    <x v="6"/>
    <x v="67"/>
    <s v="9193"/>
  </r>
  <r>
    <x v="3"/>
    <x v="36"/>
    <s v="9194"/>
  </r>
  <r>
    <x v="3"/>
    <x v="36"/>
    <s v="9195"/>
  </r>
  <r>
    <x v="8"/>
    <x v="87"/>
    <s v="9196"/>
  </r>
  <r>
    <x v="9"/>
    <x v="74"/>
    <s v="9197"/>
  </r>
  <r>
    <x v="9"/>
    <x v="85"/>
    <s v="9198"/>
  </r>
  <r>
    <x v="7"/>
    <x v="82"/>
    <s v="9199"/>
  </r>
  <r>
    <x v="7"/>
    <x v="90"/>
    <s v="9201"/>
  </r>
  <r>
    <x v="7"/>
    <x v="89"/>
    <s v="9202"/>
  </r>
  <r>
    <x v="7"/>
    <x v="89"/>
    <s v="9203"/>
  </r>
  <r>
    <x v="7"/>
    <x v="89"/>
    <s v="9204"/>
  </r>
  <r>
    <x v="7"/>
    <x v="89"/>
    <s v="9207"/>
  </r>
  <r>
    <x v="7"/>
    <x v="92"/>
    <s v="9209"/>
  </r>
  <r>
    <x v="7"/>
    <x v="92"/>
    <s v="9210"/>
  </r>
  <r>
    <x v="7"/>
    <x v="53"/>
    <s v="9211"/>
  </r>
  <r>
    <x v="7"/>
    <x v="53"/>
    <s v="9213"/>
  </r>
  <r>
    <x v="7"/>
    <x v="80"/>
    <s v="9214"/>
  </r>
  <r>
    <x v="7"/>
    <x v="80"/>
    <s v="9215"/>
  </r>
  <r>
    <x v="9"/>
    <x v="71"/>
    <s v="9216"/>
  </r>
  <r>
    <x v="9"/>
    <x v="74"/>
    <s v="9225"/>
  </r>
  <r>
    <x v="9"/>
    <x v="72"/>
    <s v="9232"/>
  </r>
  <r>
    <x v="9"/>
    <x v="85"/>
    <s v="9235"/>
  </r>
  <r>
    <x v="9"/>
    <x v="86"/>
    <s v="9236"/>
  </r>
  <r>
    <x v="9"/>
    <x v="72"/>
    <s v="9237"/>
  </r>
  <r>
    <x v="1"/>
    <x v="14"/>
    <s v="9239"/>
  </r>
  <r>
    <x v="1"/>
    <x v="30"/>
    <s v="9240"/>
  </r>
  <r>
    <x v="1"/>
    <x v="17"/>
    <s v="9242"/>
  </r>
  <r>
    <x v="1"/>
    <x v="28"/>
    <s v="9243"/>
  </r>
  <r>
    <x v="2"/>
    <x v="25"/>
    <s v="9246"/>
  </r>
  <r>
    <x v="4"/>
    <x v="47"/>
    <s v="9251"/>
  </r>
  <r>
    <x v="5"/>
    <x v="101"/>
    <s v="9260"/>
  </r>
  <r>
    <x v="8"/>
    <x v="96"/>
    <s v="9264"/>
  </r>
  <r>
    <x v="8"/>
    <x v="54"/>
    <s v="9266"/>
  </r>
  <r>
    <x v="8"/>
    <x v="96"/>
    <s v="9269"/>
  </r>
  <r>
    <x v="8"/>
    <x v="87"/>
    <s v="9273"/>
  </r>
  <r>
    <x v="8"/>
    <x v="91"/>
    <s v="9275"/>
  </r>
  <r>
    <x v="8"/>
    <x v="91"/>
    <s v="9277"/>
  </r>
  <r>
    <x v="8"/>
    <x v="88"/>
    <s v="9278"/>
  </r>
  <r>
    <x v="8"/>
    <x v="88"/>
    <s v="9279"/>
  </r>
  <r>
    <x v="8"/>
    <x v="88"/>
    <s v="9280"/>
  </r>
  <r>
    <x v="7"/>
    <x v="53"/>
    <s v="9281"/>
  </r>
  <r>
    <x v="7"/>
    <x v="53"/>
    <s v="9282"/>
  </r>
  <r>
    <x v="8"/>
    <x v="54"/>
    <s v="9283"/>
  </r>
  <r>
    <x v="8"/>
    <x v="87"/>
    <s v="9291"/>
  </r>
  <r>
    <x v="2"/>
    <x v="24"/>
    <s v="9292"/>
  </r>
  <r>
    <x v="4"/>
    <x v="42"/>
    <s v="9293"/>
  </r>
  <r>
    <x v="1"/>
    <x v="9"/>
    <s v="9310"/>
  </r>
  <r>
    <x v="1"/>
    <x v="9"/>
    <s v="9311"/>
  </r>
  <r>
    <x v="2"/>
    <x v="21"/>
    <s v="9312"/>
  </r>
  <r>
    <x v="8"/>
    <x v="97"/>
    <s v="9313"/>
  </r>
  <r>
    <x v="7"/>
    <x v="94"/>
    <s v="9314"/>
  </r>
  <r>
    <x v="2"/>
    <x v="21"/>
    <s v="9315"/>
  </r>
  <r>
    <x v="6"/>
    <x v="57"/>
    <s v="9316"/>
  </r>
  <r>
    <x v="7"/>
    <x v="89"/>
    <s v="9317"/>
  </r>
  <r>
    <x v="3"/>
    <x v="34"/>
    <s v="9318"/>
  </r>
  <r>
    <x v="3"/>
    <x v="35"/>
    <s v="9319"/>
  </r>
  <r>
    <x v="9"/>
    <x v="85"/>
    <s v="9320"/>
  </r>
  <r>
    <x v="3"/>
    <x v="36"/>
    <s v="9321"/>
  </r>
  <r>
    <x v="2"/>
    <x v="22"/>
    <s v="9322"/>
  </r>
  <r>
    <x v="2"/>
    <x v="21"/>
    <s v="9323"/>
  </r>
  <r>
    <x v="2"/>
    <x v="26"/>
    <s v="9324"/>
  </r>
  <r>
    <x v="2"/>
    <x v="24"/>
    <s v="9325"/>
  </r>
  <r>
    <x v="7"/>
    <x v="83"/>
    <s v="9326"/>
  </r>
  <r>
    <x v="6"/>
    <x v="66"/>
    <s v="9327"/>
  </r>
  <r>
    <x v="9"/>
    <x v="86"/>
    <s v="9328"/>
  </r>
  <r>
    <x v="7"/>
    <x v="83"/>
    <s v="9329"/>
  </r>
  <r>
    <x v="3"/>
    <x v="35"/>
    <s v="9330"/>
  </r>
  <r>
    <x v="3"/>
    <x v="37"/>
    <s v="9331"/>
  </r>
  <r>
    <x v="3"/>
    <x v="35"/>
    <s v="9332"/>
  </r>
  <r>
    <x v="7"/>
    <x v="90"/>
    <s v="9333"/>
  </r>
  <r>
    <x v="1"/>
    <x v="31"/>
    <s v="9334"/>
  </r>
  <r>
    <x v="7"/>
    <x v="93"/>
    <s v="9335"/>
  </r>
  <r>
    <x v="3"/>
    <x v="35"/>
    <s v="9336"/>
  </r>
  <r>
    <x v="6"/>
    <x v="60"/>
    <s v="9337"/>
  </r>
  <r>
    <x v="6"/>
    <x v="67"/>
    <s v="9338"/>
  </r>
  <r>
    <x v="3"/>
    <x v="37"/>
    <s v="9339"/>
  </r>
  <r>
    <x v="3"/>
    <x v="35"/>
    <s v="9340"/>
  </r>
  <r>
    <x v="3"/>
    <x v="35"/>
    <s v="9341"/>
  </r>
  <r>
    <x v="7"/>
    <x v="94"/>
    <s v="9342"/>
  </r>
  <r>
    <x v="3"/>
    <x v="36"/>
    <s v="9343"/>
  </r>
  <r>
    <x v="2"/>
    <x v="26"/>
    <s v="9344"/>
  </r>
  <r>
    <x v="0"/>
    <x v="5"/>
    <s v="9345"/>
  </r>
  <r>
    <x v="0"/>
    <x v="0"/>
    <s v="9346"/>
  </r>
  <r>
    <x v="7"/>
    <x v="93"/>
    <s v="9347"/>
  </r>
  <r>
    <x v="6"/>
    <x v="56"/>
    <s v="9348"/>
  </r>
  <r>
    <x v="5"/>
    <x v="48"/>
    <s v="9349"/>
  </r>
  <r>
    <x v="5"/>
    <x v="48"/>
    <s v="9350"/>
  </r>
  <r>
    <x v="2"/>
    <x v="21"/>
    <s v="9351"/>
  </r>
  <r>
    <x v="0"/>
    <x v="5"/>
    <s v="9352"/>
  </r>
  <r>
    <x v="2"/>
    <x v="22"/>
    <s v="9353"/>
  </r>
  <r>
    <x v="7"/>
    <x v="83"/>
    <s v="9354"/>
  </r>
  <r>
    <x v="7"/>
    <x v="80"/>
    <s v="9355"/>
  </r>
  <r>
    <x v="7"/>
    <x v="83"/>
    <s v="9356"/>
  </r>
  <r>
    <x v="3"/>
    <x v="34"/>
    <s v="9357"/>
  </r>
  <r>
    <x v="5"/>
    <x v="100"/>
    <s v="9358"/>
  </r>
  <r>
    <x v="7"/>
    <x v="93"/>
    <s v="9359"/>
  </r>
  <r>
    <x v="4"/>
    <x v="42"/>
    <s v="9360"/>
  </r>
  <r>
    <x v="3"/>
    <x v="37"/>
    <s v="9361"/>
  </r>
  <r>
    <x v="7"/>
    <x v="83"/>
    <s v="9362"/>
  </r>
  <r>
    <x v="8"/>
    <x v="96"/>
    <s v="9363"/>
  </r>
  <r>
    <x v="10"/>
    <x v="10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6">
  <r>
    <x v="0"/>
    <x v="0"/>
    <s v="050501"/>
  </r>
  <r>
    <x v="0"/>
    <x v="0"/>
    <s v="050502"/>
  </r>
  <r>
    <x v="0"/>
    <x v="0"/>
    <s v="050503"/>
  </r>
  <r>
    <x v="0"/>
    <x v="0"/>
    <s v="050504"/>
  </r>
  <r>
    <x v="0"/>
    <x v="0"/>
    <s v="050506"/>
  </r>
  <r>
    <x v="0"/>
    <x v="0"/>
    <s v="050508"/>
  </r>
  <r>
    <x v="0"/>
    <x v="0"/>
    <s v="050509"/>
  </r>
  <r>
    <x v="0"/>
    <x v="0"/>
    <s v="050511"/>
  </r>
  <r>
    <x v="0"/>
    <x v="0"/>
    <s v="050512"/>
  </r>
  <r>
    <x v="0"/>
    <x v="0"/>
    <s v="050514"/>
  </r>
  <r>
    <x v="0"/>
    <x v="0"/>
    <s v="050515"/>
  </r>
  <r>
    <x v="0"/>
    <x v="0"/>
    <s v="050804"/>
  </r>
  <r>
    <x v="0"/>
    <x v="0"/>
    <s v="050807"/>
  </r>
  <r>
    <x v="0"/>
    <x v="0"/>
    <s v="050812"/>
  </r>
  <r>
    <x v="0"/>
    <x v="0"/>
    <s v="050813"/>
  </r>
  <r>
    <x v="0"/>
    <x v="0"/>
    <s v="050816"/>
  </r>
  <r>
    <x v="0"/>
    <x v="1"/>
    <s v="050401"/>
  </r>
  <r>
    <x v="0"/>
    <x v="1"/>
    <s v="050403"/>
  </r>
  <r>
    <x v="0"/>
    <x v="1"/>
    <s v="050404"/>
  </r>
  <r>
    <x v="0"/>
    <x v="1"/>
    <s v="050407"/>
  </r>
  <r>
    <x v="0"/>
    <x v="1"/>
    <s v="050408"/>
  </r>
  <r>
    <x v="0"/>
    <x v="1"/>
    <s v="050410"/>
  </r>
  <r>
    <x v="0"/>
    <x v="1"/>
    <s v="050411"/>
  </r>
  <r>
    <x v="0"/>
    <x v="1"/>
    <s v="050412"/>
  </r>
  <r>
    <x v="0"/>
    <x v="1"/>
    <s v="050413"/>
  </r>
  <r>
    <x v="0"/>
    <x v="1"/>
    <s v="050414"/>
  </r>
  <r>
    <x v="0"/>
    <x v="1"/>
    <s v="050415"/>
  </r>
  <r>
    <x v="0"/>
    <x v="2"/>
    <s v="050803"/>
  </r>
  <r>
    <x v="0"/>
    <x v="2"/>
    <s v="050805"/>
  </r>
  <r>
    <x v="0"/>
    <x v="2"/>
    <s v="050806"/>
  </r>
  <r>
    <x v="0"/>
    <x v="2"/>
    <s v="050807"/>
  </r>
  <r>
    <x v="0"/>
    <x v="2"/>
    <s v="050809"/>
  </r>
  <r>
    <x v="0"/>
    <x v="2"/>
    <s v="050810"/>
  </r>
  <r>
    <x v="0"/>
    <x v="2"/>
    <s v="050811"/>
  </r>
  <r>
    <x v="0"/>
    <x v="2"/>
    <s v="050814"/>
  </r>
  <r>
    <x v="0"/>
    <x v="2"/>
    <s v="050815"/>
  </r>
  <r>
    <x v="0"/>
    <x v="3"/>
    <s v="051201"/>
  </r>
  <r>
    <x v="0"/>
    <x v="3"/>
    <s v="051203"/>
  </r>
  <r>
    <x v="0"/>
    <x v="3"/>
    <s v="051204"/>
  </r>
  <r>
    <x v="0"/>
    <x v="3"/>
    <s v="051205"/>
  </r>
  <r>
    <x v="0"/>
    <x v="3"/>
    <s v="051206"/>
  </r>
  <r>
    <x v="0"/>
    <x v="3"/>
    <s v="051207"/>
  </r>
  <r>
    <x v="0"/>
    <x v="3"/>
    <s v="051208"/>
  </r>
  <r>
    <x v="0"/>
    <x v="3"/>
    <s v="051209"/>
  </r>
  <r>
    <x v="0"/>
    <x v="3"/>
    <s v="051210"/>
  </r>
  <r>
    <x v="0"/>
    <x v="3"/>
    <s v="051211"/>
  </r>
  <r>
    <x v="0"/>
    <x v="3"/>
    <s v="051212"/>
  </r>
  <r>
    <x v="0"/>
    <x v="3"/>
    <s v="051213"/>
  </r>
  <r>
    <x v="0"/>
    <x v="3"/>
    <s v="051214"/>
  </r>
  <r>
    <x v="0"/>
    <x v="3"/>
    <s v="051215"/>
  </r>
  <r>
    <x v="0"/>
    <x v="3"/>
    <s v="051216"/>
  </r>
  <r>
    <x v="0"/>
    <x v="3"/>
    <s v="051217"/>
  </r>
  <r>
    <x v="0"/>
    <x v="3"/>
    <s v="051218"/>
  </r>
  <r>
    <x v="0"/>
    <x v="4"/>
    <s v="050301"/>
  </r>
  <r>
    <x v="0"/>
    <x v="4"/>
    <s v="050302"/>
  </r>
  <r>
    <x v="0"/>
    <x v="4"/>
    <s v="050303"/>
  </r>
  <r>
    <x v="0"/>
    <x v="4"/>
    <s v="050305"/>
  </r>
  <r>
    <x v="0"/>
    <x v="4"/>
    <s v="050306"/>
  </r>
  <r>
    <x v="0"/>
    <x v="4"/>
    <s v="050307"/>
  </r>
  <r>
    <x v="0"/>
    <x v="4"/>
    <s v="050308"/>
  </r>
  <r>
    <x v="0"/>
    <x v="4"/>
    <s v="050309"/>
  </r>
  <r>
    <x v="0"/>
    <x v="4"/>
    <s v="050310"/>
  </r>
  <r>
    <x v="0"/>
    <x v="4"/>
    <s v="050312"/>
  </r>
  <r>
    <x v="0"/>
    <x v="4"/>
    <s v="050901"/>
  </r>
  <r>
    <x v="0"/>
    <x v="4"/>
    <s v="050902"/>
  </r>
  <r>
    <x v="0"/>
    <x v="4"/>
    <s v="050906"/>
  </r>
  <r>
    <x v="0"/>
    <x v="4"/>
    <s v="050907"/>
  </r>
  <r>
    <x v="0"/>
    <x v="4"/>
    <s v="050909"/>
  </r>
  <r>
    <x v="0"/>
    <x v="4"/>
    <s v="050910"/>
  </r>
  <r>
    <x v="0"/>
    <x v="4"/>
    <s v="051302"/>
  </r>
  <r>
    <x v="0"/>
    <x v="4"/>
    <s v="051303"/>
  </r>
  <r>
    <x v="0"/>
    <x v="5"/>
    <s v="051003"/>
  </r>
  <r>
    <x v="0"/>
    <x v="5"/>
    <s v="051005"/>
  </r>
  <r>
    <x v="0"/>
    <x v="5"/>
    <s v="051006"/>
  </r>
  <r>
    <x v="0"/>
    <x v="5"/>
    <s v="051007"/>
  </r>
  <r>
    <x v="0"/>
    <x v="5"/>
    <s v="051009"/>
  </r>
  <r>
    <x v="0"/>
    <x v="5"/>
    <s v="051012"/>
  </r>
  <r>
    <x v="0"/>
    <x v="5"/>
    <s v="051102"/>
  </r>
  <r>
    <x v="0"/>
    <x v="6"/>
    <s v="050601"/>
  </r>
  <r>
    <x v="0"/>
    <x v="6"/>
    <s v="050602"/>
  </r>
  <r>
    <x v="0"/>
    <x v="6"/>
    <s v="050603"/>
  </r>
  <r>
    <x v="0"/>
    <x v="6"/>
    <s v="050604"/>
  </r>
  <r>
    <x v="0"/>
    <x v="6"/>
    <s v="050605"/>
  </r>
  <r>
    <x v="0"/>
    <x v="6"/>
    <s v="050606"/>
  </r>
  <r>
    <x v="0"/>
    <x v="6"/>
    <s v="050607"/>
  </r>
  <r>
    <x v="0"/>
    <x v="6"/>
    <s v="050608"/>
  </r>
  <r>
    <x v="0"/>
    <x v="6"/>
    <s v="050609"/>
  </r>
  <r>
    <x v="0"/>
    <x v="6"/>
    <s v="050610"/>
  </r>
  <r>
    <x v="0"/>
    <x v="7"/>
    <s v="050311"/>
  </r>
  <r>
    <x v="0"/>
    <x v="7"/>
    <s v="051301"/>
  </r>
  <r>
    <x v="0"/>
    <x v="7"/>
    <s v="051302"/>
  </r>
  <r>
    <x v="0"/>
    <x v="7"/>
    <s v="051304"/>
  </r>
  <r>
    <x v="0"/>
    <x v="7"/>
    <s v="051306"/>
  </r>
  <r>
    <x v="0"/>
    <x v="7"/>
    <s v="051307"/>
  </r>
  <r>
    <x v="0"/>
    <x v="7"/>
    <s v="051308"/>
  </r>
  <r>
    <x v="0"/>
    <x v="7"/>
    <s v="051309"/>
  </r>
  <r>
    <x v="0"/>
    <x v="7"/>
    <s v="051310"/>
  </r>
  <r>
    <x v="0"/>
    <x v="7"/>
    <s v="051312"/>
  </r>
  <r>
    <x v="0"/>
    <x v="7"/>
    <s v="051313"/>
  </r>
  <r>
    <x v="0"/>
    <x v="8"/>
    <s v="050101"/>
  </r>
  <r>
    <x v="0"/>
    <x v="8"/>
    <s v="050102"/>
  </r>
  <r>
    <x v="0"/>
    <x v="8"/>
    <s v="050103"/>
  </r>
  <r>
    <x v="0"/>
    <x v="8"/>
    <s v="050104"/>
  </r>
  <r>
    <x v="0"/>
    <x v="8"/>
    <s v="050105"/>
  </r>
  <r>
    <x v="0"/>
    <x v="8"/>
    <s v="050106"/>
  </r>
  <r>
    <x v="0"/>
    <x v="8"/>
    <s v="050107"/>
  </r>
  <r>
    <x v="0"/>
    <x v="8"/>
    <s v="050108"/>
  </r>
  <r>
    <x v="0"/>
    <x v="8"/>
    <s v="050109"/>
  </r>
  <r>
    <x v="0"/>
    <x v="8"/>
    <s v="050110"/>
  </r>
  <r>
    <x v="0"/>
    <x v="8"/>
    <s v="050111"/>
  </r>
  <r>
    <x v="0"/>
    <x v="9"/>
    <s v="050701"/>
  </r>
  <r>
    <x v="0"/>
    <x v="9"/>
    <s v="050702"/>
  </r>
  <r>
    <x v="0"/>
    <x v="9"/>
    <s v="050703"/>
  </r>
  <r>
    <x v="0"/>
    <x v="9"/>
    <s v="050704"/>
  </r>
  <r>
    <x v="0"/>
    <x v="9"/>
    <s v="050705"/>
  </r>
  <r>
    <x v="0"/>
    <x v="9"/>
    <s v="050706"/>
  </r>
  <r>
    <x v="0"/>
    <x v="9"/>
    <s v="050707"/>
  </r>
  <r>
    <x v="0"/>
    <x v="9"/>
    <s v="050708"/>
  </r>
  <r>
    <x v="0"/>
    <x v="9"/>
    <s v="050709"/>
  </r>
  <r>
    <x v="0"/>
    <x v="9"/>
    <s v="050710"/>
  </r>
  <r>
    <x v="0"/>
    <x v="9"/>
    <s v="050711"/>
  </r>
  <r>
    <x v="0"/>
    <x v="9"/>
    <s v="050712"/>
  </r>
  <r>
    <x v="0"/>
    <x v="9"/>
    <s v="050713"/>
  </r>
  <r>
    <x v="0"/>
    <x v="9"/>
    <s v="050714"/>
  </r>
  <r>
    <x v="0"/>
    <x v="9"/>
    <s v="050715"/>
  </r>
  <r>
    <x v="0"/>
    <x v="9"/>
    <s v="050903"/>
  </r>
  <r>
    <x v="0"/>
    <x v="9"/>
    <s v="050905"/>
  </r>
  <r>
    <x v="0"/>
    <x v="9"/>
    <s v="050908"/>
  </r>
  <r>
    <x v="1"/>
    <x v="10"/>
    <s v="100401"/>
  </r>
  <r>
    <x v="1"/>
    <x v="10"/>
    <s v="100402"/>
  </r>
  <r>
    <x v="1"/>
    <x v="10"/>
    <s v="100403"/>
  </r>
  <r>
    <x v="1"/>
    <x v="10"/>
    <s v="100406"/>
  </r>
  <r>
    <x v="1"/>
    <x v="10"/>
    <s v="100407"/>
  </r>
  <r>
    <x v="1"/>
    <x v="10"/>
    <s v="100408"/>
  </r>
  <r>
    <x v="1"/>
    <x v="10"/>
    <s v="100411"/>
  </r>
  <r>
    <x v="1"/>
    <x v="10"/>
    <s v="100412"/>
  </r>
  <r>
    <x v="1"/>
    <x v="10"/>
    <s v="100413"/>
  </r>
  <r>
    <x v="1"/>
    <x v="10"/>
    <s v="100414"/>
  </r>
  <r>
    <x v="1"/>
    <x v="11"/>
    <s v="090803"/>
  </r>
  <r>
    <x v="1"/>
    <x v="11"/>
    <s v="090807"/>
  </r>
  <r>
    <x v="1"/>
    <x v="11"/>
    <s v="090808"/>
  </r>
  <r>
    <x v="1"/>
    <x v="11"/>
    <s v="090810"/>
  </r>
  <r>
    <x v="1"/>
    <x v="11"/>
    <s v="100101"/>
  </r>
  <r>
    <x v="1"/>
    <x v="11"/>
    <s v="100102"/>
  </r>
  <r>
    <x v="1"/>
    <x v="11"/>
    <s v="100103"/>
  </r>
  <r>
    <x v="1"/>
    <x v="11"/>
    <s v="100104"/>
  </r>
  <r>
    <x v="1"/>
    <x v="11"/>
    <s v="100105"/>
  </r>
  <r>
    <x v="1"/>
    <x v="11"/>
    <s v="100106"/>
  </r>
  <r>
    <x v="1"/>
    <x v="11"/>
    <s v="100108"/>
  </r>
  <r>
    <x v="1"/>
    <x v="11"/>
    <s v="100109"/>
  </r>
  <r>
    <x v="1"/>
    <x v="11"/>
    <s v="100802"/>
  </r>
  <r>
    <x v="1"/>
    <x v="11"/>
    <s v="100803"/>
  </r>
  <r>
    <x v="1"/>
    <x v="11"/>
    <s v="100810"/>
  </r>
  <r>
    <x v="1"/>
    <x v="11"/>
    <s v="100812"/>
  </r>
  <r>
    <x v="1"/>
    <x v="11"/>
    <s v="100813"/>
  </r>
  <r>
    <x v="1"/>
    <x v="11"/>
    <s v="100815"/>
  </r>
  <r>
    <x v="1"/>
    <x v="12"/>
    <s v="100701"/>
  </r>
  <r>
    <x v="1"/>
    <x v="12"/>
    <s v="100702"/>
  </r>
  <r>
    <x v="1"/>
    <x v="12"/>
    <s v="100703"/>
  </r>
  <r>
    <x v="1"/>
    <x v="12"/>
    <s v="100704"/>
  </r>
  <r>
    <x v="1"/>
    <x v="12"/>
    <s v="100705"/>
  </r>
  <r>
    <x v="1"/>
    <x v="12"/>
    <s v="100706"/>
  </r>
  <r>
    <x v="1"/>
    <x v="12"/>
    <s v="100708"/>
  </r>
  <r>
    <x v="1"/>
    <x v="12"/>
    <s v="100709"/>
  </r>
  <r>
    <x v="1"/>
    <x v="12"/>
    <s v="100710"/>
  </r>
  <r>
    <x v="1"/>
    <x v="12"/>
    <s v="100711"/>
  </r>
  <r>
    <x v="1"/>
    <x v="12"/>
    <s v="100712"/>
  </r>
  <r>
    <x v="1"/>
    <x v="12"/>
    <s v="100713"/>
  </r>
  <r>
    <x v="1"/>
    <x v="12"/>
    <s v="100714"/>
  </r>
  <r>
    <x v="1"/>
    <x v="12"/>
    <s v="100715"/>
  </r>
  <r>
    <x v="1"/>
    <x v="12"/>
    <s v="100716"/>
  </r>
  <r>
    <x v="1"/>
    <x v="12"/>
    <s v="100717"/>
  </r>
  <r>
    <x v="1"/>
    <x v="13"/>
    <s v="090210"/>
  </r>
  <r>
    <x v="1"/>
    <x v="13"/>
    <s v="090213"/>
  </r>
  <r>
    <x v="1"/>
    <x v="13"/>
    <s v="100501"/>
  </r>
  <r>
    <x v="1"/>
    <x v="13"/>
    <s v="100502"/>
  </r>
  <r>
    <x v="1"/>
    <x v="13"/>
    <s v="100503"/>
  </r>
  <r>
    <x v="1"/>
    <x v="13"/>
    <s v="100504"/>
  </r>
  <r>
    <x v="1"/>
    <x v="13"/>
    <s v="100505"/>
  </r>
  <r>
    <x v="1"/>
    <x v="13"/>
    <s v="100506"/>
  </r>
  <r>
    <x v="1"/>
    <x v="13"/>
    <s v="100507"/>
  </r>
  <r>
    <x v="1"/>
    <x v="13"/>
    <s v="100508"/>
  </r>
  <r>
    <x v="1"/>
    <x v="13"/>
    <s v="100509"/>
  </r>
  <r>
    <x v="1"/>
    <x v="13"/>
    <s v="100510"/>
  </r>
  <r>
    <x v="1"/>
    <x v="13"/>
    <s v="100511"/>
  </r>
  <r>
    <x v="1"/>
    <x v="13"/>
    <s v="100512"/>
  </r>
  <r>
    <x v="1"/>
    <x v="13"/>
    <s v="100513"/>
  </r>
  <r>
    <x v="1"/>
    <x v="13"/>
    <s v="100514"/>
  </r>
  <r>
    <x v="1"/>
    <x v="13"/>
    <s v="100515"/>
  </r>
  <r>
    <x v="1"/>
    <x v="13"/>
    <s v="100516"/>
  </r>
  <r>
    <x v="1"/>
    <x v="13"/>
    <s v="100620"/>
  </r>
  <r>
    <x v="1"/>
    <x v="13"/>
    <s v="100802"/>
  </r>
  <r>
    <x v="1"/>
    <x v="13"/>
    <s v="100812"/>
  </r>
  <r>
    <x v="1"/>
    <x v="13"/>
    <s v="100814"/>
  </r>
  <r>
    <x v="1"/>
    <x v="14"/>
    <s v="100205"/>
  </r>
  <r>
    <x v="1"/>
    <x v="14"/>
    <s v="100210"/>
  </r>
  <r>
    <x v="1"/>
    <x v="14"/>
    <s v="100212"/>
  </r>
  <r>
    <x v="1"/>
    <x v="14"/>
    <s v="100302"/>
  </r>
  <r>
    <x v="1"/>
    <x v="14"/>
    <s v="100303"/>
  </r>
  <r>
    <x v="1"/>
    <x v="14"/>
    <s v="100304"/>
  </r>
  <r>
    <x v="1"/>
    <x v="14"/>
    <s v="100305"/>
  </r>
  <r>
    <x v="1"/>
    <x v="14"/>
    <s v="100306"/>
  </r>
  <r>
    <x v="1"/>
    <x v="14"/>
    <s v="100307"/>
  </r>
  <r>
    <x v="1"/>
    <x v="14"/>
    <s v="100308"/>
  </r>
  <r>
    <x v="1"/>
    <x v="14"/>
    <s v="100309"/>
  </r>
  <r>
    <x v="1"/>
    <x v="14"/>
    <s v="100311"/>
  </r>
  <r>
    <x v="1"/>
    <x v="14"/>
    <s v="100312"/>
  </r>
  <r>
    <x v="1"/>
    <x v="14"/>
    <s v="100313"/>
  </r>
  <r>
    <x v="1"/>
    <x v="14"/>
    <s v="100314"/>
  </r>
  <r>
    <x v="1"/>
    <x v="14"/>
    <s v="100317"/>
  </r>
  <r>
    <x v="1"/>
    <x v="14"/>
    <s v="100318"/>
  </r>
  <r>
    <x v="1"/>
    <x v="14"/>
    <s v="100320"/>
  </r>
  <r>
    <x v="1"/>
    <x v="14"/>
    <s v="100321"/>
  </r>
  <r>
    <x v="1"/>
    <x v="14"/>
    <s v="100322"/>
  </r>
  <r>
    <x v="1"/>
    <x v="15"/>
    <s v="100404"/>
  </r>
  <r>
    <x v="1"/>
    <x v="15"/>
    <s v="100405"/>
  </r>
  <r>
    <x v="1"/>
    <x v="15"/>
    <s v="100410"/>
  </r>
  <r>
    <x v="1"/>
    <x v="15"/>
    <s v="100601"/>
  </r>
  <r>
    <x v="1"/>
    <x v="15"/>
    <s v="100602"/>
  </r>
  <r>
    <x v="1"/>
    <x v="15"/>
    <s v="100603"/>
  </r>
  <r>
    <x v="1"/>
    <x v="15"/>
    <s v="100604"/>
  </r>
  <r>
    <x v="1"/>
    <x v="15"/>
    <s v="100606"/>
  </r>
  <r>
    <x v="1"/>
    <x v="15"/>
    <s v="100607"/>
  </r>
  <r>
    <x v="1"/>
    <x v="15"/>
    <s v="100608"/>
  </r>
  <r>
    <x v="1"/>
    <x v="15"/>
    <s v="100609"/>
  </r>
  <r>
    <x v="1"/>
    <x v="15"/>
    <s v="100610"/>
  </r>
  <r>
    <x v="1"/>
    <x v="15"/>
    <s v="100611"/>
  </r>
  <r>
    <x v="1"/>
    <x v="15"/>
    <s v="100612"/>
  </r>
  <r>
    <x v="1"/>
    <x v="15"/>
    <s v="100613"/>
  </r>
  <r>
    <x v="1"/>
    <x v="15"/>
    <s v="100614"/>
  </r>
  <r>
    <x v="1"/>
    <x v="15"/>
    <s v="100615"/>
  </r>
  <r>
    <x v="1"/>
    <x v="15"/>
    <s v="100616"/>
  </r>
  <r>
    <x v="1"/>
    <x v="15"/>
    <s v="100617"/>
  </r>
  <r>
    <x v="1"/>
    <x v="15"/>
    <s v="100618"/>
  </r>
  <r>
    <x v="1"/>
    <x v="15"/>
    <s v="100619"/>
  </r>
  <r>
    <x v="1"/>
    <x v="15"/>
    <s v="100621"/>
  </r>
  <r>
    <x v="1"/>
    <x v="15"/>
    <s v="100622"/>
  </r>
  <r>
    <x v="1"/>
    <x v="16"/>
    <s v="090906"/>
  </r>
  <r>
    <x v="1"/>
    <x v="16"/>
    <s v="090915"/>
  </r>
  <r>
    <x v="1"/>
    <x v="16"/>
    <s v="090916"/>
  </r>
  <r>
    <x v="1"/>
    <x v="16"/>
    <s v="100201"/>
  </r>
  <r>
    <x v="1"/>
    <x v="16"/>
    <s v="100202"/>
  </r>
  <r>
    <x v="1"/>
    <x v="16"/>
    <s v="100203"/>
  </r>
  <r>
    <x v="1"/>
    <x v="16"/>
    <s v="100204"/>
  </r>
  <r>
    <x v="1"/>
    <x v="16"/>
    <s v="100206"/>
  </r>
  <r>
    <x v="1"/>
    <x v="16"/>
    <s v="100207"/>
  </r>
  <r>
    <x v="1"/>
    <x v="16"/>
    <s v="100208"/>
  </r>
  <r>
    <x v="1"/>
    <x v="16"/>
    <s v="100209"/>
  </r>
  <r>
    <x v="1"/>
    <x v="16"/>
    <s v="100211"/>
  </r>
  <r>
    <x v="1"/>
    <x v="16"/>
    <s v="100213"/>
  </r>
  <r>
    <x v="1"/>
    <x v="16"/>
    <s v="100215"/>
  </r>
  <r>
    <x v="1"/>
    <x v="16"/>
    <s v="100216"/>
  </r>
  <r>
    <x v="1"/>
    <x v="16"/>
    <s v="100217"/>
  </r>
  <r>
    <x v="2"/>
    <x v="17"/>
    <s v="021101"/>
  </r>
  <r>
    <x v="2"/>
    <x v="17"/>
    <s v="021103"/>
  </r>
  <r>
    <x v="2"/>
    <x v="17"/>
    <s v="021104"/>
  </r>
  <r>
    <x v="2"/>
    <x v="17"/>
    <s v="021105"/>
  </r>
  <r>
    <x v="2"/>
    <x v="17"/>
    <s v="021106"/>
  </r>
  <r>
    <x v="2"/>
    <x v="17"/>
    <s v="021302"/>
  </r>
  <r>
    <x v="2"/>
    <x v="18"/>
    <s v="020701"/>
  </r>
  <r>
    <x v="2"/>
    <x v="18"/>
    <s v="020704"/>
  </r>
  <r>
    <x v="2"/>
    <x v="18"/>
    <s v="020705"/>
  </r>
  <r>
    <x v="2"/>
    <x v="18"/>
    <s v="020706"/>
  </r>
  <r>
    <x v="2"/>
    <x v="18"/>
    <s v="020707"/>
  </r>
  <r>
    <x v="2"/>
    <x v="18"/>
    <s v="020708"/>
  </r>
  <r>
    <x v="2"/>
    <x v="19"/>
    <s v="020801"/>
  </r>
  <r>
    <x v="2"/>
    <x v="19"/>
    <s v="020802"/>
  </r>
  <r>
    <x v="2"/>
    <x v="19"/>
    <s v="020803"/>
  </r>
  <r>
    <x v="2"/>
    <x v="19"/>
    <s v="020804"/>
  </r>
  <r>
    <x v="2"/>
    <x v="19"/>
    <s v="020805"/>
  </r>
  <r>
    <x v="2"/>
    <x v="19"/>
    <s v="020806"/>
  </r>
  <r>
    <x v="2"/>
    <x v="19"/>
    <s v="020807"/>
  </r>
  <r>
    <x v="2"/>
    <x v="19"/>
    <s v="020808"/>
  </r>
  <r>
    <x v="2"/>
    <x v="19"/>
    <s v="020809"/>
  </r>
  <r>
    <x v="2"/>
    <x v="19"/>
    <s v="020810"/>
  </r>
  <r>
    <x v="2"/>
    <x v="19"/>
    <s v="020811"/>
  </r>
  <r>
    <x v="2"/>
    <x v="19"/>
    <s v="020812"/>
  </r>
  <r>
    <x v="2"/>
    <x v="19"/>
    <s v="020813"/>
  </r>
  <r>
    <x v="2"/>
    <x v="19"/>
    <s v="020814"/>
  </r>
  <r>
    <x v="2"/>
    <x v="19"/>
    <s v="021102"/>
  </r>
  <r>
    <x v="2"/>
    <x v="20"/>
    <s v="020901"/>
  </r>
  <r>
    <x v="2"/>
    <x v="20"/>
    <s v="020902"/>
  </r>
  <r>
    <x v="2"/>
    <x v="20"/>
    <s v="020903"/>
  </r>
  <r>
    <x v="2"/>
    <x v="20"/>
    <s v="020904"/>
  </r>
  <r>
    <x v="2"/>
    <x v="20"/>
    <s v="020905"/>
  </r>
  <r>
    <x v="2"/>
    <x v="20"/>
    <s v="020906"/>
  </r>
  <r>
    <x v="2"/>
    <x v="20"/>
    <s v="020907"/>
  </r>
  <r>
    <x v="2"/>
    <x v="20"/>
    <s v="020908"/>
  </r>
  <r>
    <x v="2"/>
    <x v="20"/>
    <s v="020909"/>
  </r>
  <r>
    <x v="2"/>
    <x v="20"/>
    <s v="020910"/>
  </r>
  <r>
    <x v="2"/>
    <x v="20"/>
    <s v="020913"/>
  </r>
  <r>
    <x v="2"/>
    <x v="20"/>
    <s v="020914"/>
  </r>
  <r>
    <x v="2"/>
    <x v="20"/>
    <s v="020915"/>
  </r>
  <r>
    <x v="2"/>
    <x v="21"/>
    <s v="020401"/>
  </r>
  <r>
    <x v="2"/>
    <x v="21"/>
    <s v="020402"/>
  </r>
  <r>
    <x v="2"/>
    <x v="21"/>
    <s v="020403"/>
  </r>
  <r>
    <x v="2"/>
    <x v="21"/>
    <s v="020404"/>
  </r>
  <r>
    <x v="2"/>
    <x v="21"/>
    <s v="020405"/>
  </r>
  <r>
    <x v="2"/>
    <x v="21"/>
    <s v="020406"/>
  </r>
  <r>
    <x v="2"/>
    <x v="21"/>
    <s v="020407"/>
  </r>
  <r>
    <x v="2"/>
    <x v="21"/>
    <s v="020408"/>
  </r>
  <r>
    <x v="2"/>
    <x v="21"/>
    <s v="020409"/>
  </r>
  <r>
    <x v="2"/>
    <x v="22"/>
    <s v="020301"/>
  </r>
  <r>
    <x v="2"/>
    <x v="22"/>
    <s v="020302"/>
  </r>
  <r>
    <x v="2"/>
    <x v="22"/>
    <s v="020303"/>
  </r>
  <r>
    <x v="2"/>
    <x v="22"/>
    <s v="020305"/>
  </r>
  <r>
    <x v="2"/>
    <x v="22"/>
    <s v="020306"/>
  </r>
  <r>
    <x v="2"/>
    <x v="22"/>
    <s v="020307"/>
  </r>
  <r>
    <x v="2"/>
    <x v="22"/>
    <s v="020308"/>
  </r>
  <r>
    <x v="2"/>
    <x v="22"/>
    <s v="020309"/>
  </r>
  <r>
    <x v="2"/>
    <x v="22"/>
    <s v="020310"/>
  </r>
  <r>
    <x v="2"/>
    <x v="22"/>
    <s v="020311"/>
  </r>
  <r>
    <x v="2"/>
    <x v="23"/>
    <s v="020501"/>
  </r>
  <r>
    <x v="2"/>
    <x v="23"/>
    <s v="020502"/>
  </r>
  <r>
    <x v="2"/>
    <x v="23"/>
    <s v="020503"/>
  </r>
  <r>
    <x v="2"/>
    <x v="23"/>
    <s v="020504"/>
  </r>
  <r>
    <x v="2"/>
    <x v="23"/>
    <s v="020505"/>
  </r>
  <r>
    <x v="2"/>
    <x v="23"/>
    <s v="020506"/>
  </r>
  <r>
    <x v="2"/>
    <x v="23"/>
    <s v="020507"/>
  </r>
  <r>
    <x v="2"/>
    <x v="23"/>
    <s v="020508"/>
  </r>
  <r>
    <x v="2"/>
    <x v="23"/>
    <s v="020509"/>
  </r>
  <r>
    <x v="2"/>
    <x v="24"/>
    <s v="020601"/>
  </r>
  <r>
    <x v="2"/>
    <x v="24"/>
    <s v="020602"/>
  </r>
  <r>
    <x v="2"/>
    <x v="24"/>
    <s v="020603"/>
  </r>
  <r>
    <x v="2"/>
    <x v="24"/>
    <s v="020604"/>
  </r>
  <r>
    <x v="2"/>
    <x v="24"/>
    <s v="020605"/>
  </r>
  <r>
    <x v="2"/>
    <x v="24"/>
    <s v="020606"/>
  </r>
  <r>
    <x v="2"/>
    <x v="24"/>
    <s v="020607"/>
  </r>
  <r>
    <x v="2"/>
    <x v="24"/>
    <s v="020608"/>
  </r>
  <r>
    <x v="2"/>
    <x v="24"/>
    <s v="020609"/>
  </r>
  <r>
    <x v="2"/>
    <x v="25"/>
    <s v="020911"/>
  </r>
  <r>
    <x v="2"/>
    <x v="25"/>
    <s v="020912"/>
  </r>
  <r>
    <x v="2"/>
    <x v="25"/>
    <s v="021301"/>
  </r>
  <r>
    <x v="2"/>
    <x v="25"/>
    <s v="021303"/>
  </r>
  <r>
    <x v="2"/>
    <x v="25"/>
    <s v="021304"/>
  </r>
  <r>
    <x v="2"/>
    <x v="25"/>
    <s v="021305"/>
  </r>
  <r>
    <x v="2"/>
    <x v="25"/>
    <s v="021306"/>
  </r>
  <r>
    <x v="2"/>
    <x v="25"/>
    <s v="021307"/>
  </r>
  <r>
    <x v="2"/>
    <x v="25"/>
    <s v="021308"/>
  </r>
  <r>
    <x v="2"/>
    <x v="25"/>
    <s v="021309"/>
  </r>
  <r>
    <x v="2"/>
    <x v="25"/>
    <s v="021310"/>
  </r>
  <r>
    <x v="2"/>
    <x v="25"/>
    <s v="021311"/>
  </r>
  <r>
    <x v="2"/>
    <x v="25"/>
    <s v="021312"/>
  </r>
  <r>
    <x v="2"/>
    <x v="25"/>
    <s v="021313"/>
  </r>
  <r>
    <x v="2"/>
    <x v="26"/>
    <s v="021401"/>
  </r>
  <r>
    <x v="2"/>
    <x v="26"/>
    <s v="021402"/>
  </r>
  <r>
    <x v="2"/>
    <x v="26"/>
    <s v="021403"/>
  </r>
  <r>
    <x v="2"/>
    <x v="26"/>
    <s v="021404"/>
  </r>
  <r>
    <x v="2"/>
    <x v="26"/>
    <s v="021405"/>
  </r>
  <r>
    <x v="2"/>
    <x v="26"/>
    <s v="021406"/>
  </r>
  <r>
    <x v="2"/>
    <x v="26"/>
    <s v="021407"/>
  </r>
  <r>
    <x v="2"/>
    <x v="27"/>
    <s v="021201"/>
  </r>
  <r>
    <x v="2"/>
    <x v="27"/>
    <s v="021203"/>
  </r>
  <r>
    <x v="2"/>
    <x v="27"/>
    <s v="021204"/>
  </r>
  <r>
    <x v="2"/>
    <x v="27"/>
    <s v="021207"/>
  </r>
  <r>
    <x v="2"/>
    <x v="27"/>
    <s v="021209"/>
  </r>
  <r>
    <x v="2"/>
    <x v="27"/>
    <s v="021211"/>
  </r>
  <r>
    <x v="2"/>
    <x v="28"/>
    <s v="020702"/>
  </r>
  <r>
    <x v="2"/>
    <x v="28"/>
    <s v="020703"/>
  </r>
  <r>
    <x v="2"/>
    <x v="28"/>
    <s v="020709"/>
  </r>
  <r>
    <x v="2"/>
    <x v="28"/>
    <s v="021202"/>
  </r>
  <r>
    <x v="2"/>
    <x v="28"/>
    <s v="021205"/>
  </r>
  <r>
    <x v="2"/>
    <x v="28"/>
    <s v="021206"/>
  </r>
  <r>
    <x v="2"/>
    <x v="28"/>
    <s v="021208"/>
  </r>
  <r>
    <x v="2"/>
    <x v="28"/>
    <s v="021210"/>
  </r>
  <r>
    <x v="2"/>
    <x v="29"/>
    <s v="021001"/>
  </r>
  <r>
    <x v="2"/>
    <x v="29"/>
    <s v="021002"/>
  </r>
  <r>
    <x v="2"/>
    <x v="29"/>
    <s v="021003"/>
  </r>
  <r>
    <x v="2"/>
    <x v="29"/>
    <s v="021004"/>
  </r>
  <r>
    <x v="2"/>
    <x v="29"/>
    <s v="021005"/>
  </r>
  <r>
    <x v="2"/>
    <x v="29"/>
    <s v="021006"/>
  </r>
  <r>
    <x v="2"/>
    <x v="29"/>
    <s v="021007"/>
  </r>
  <r>
    <x v="2"/>
    <x v="29"/>
    <s v="021008"/>
  </r>
  <r>
    <x v="3"/>
    <x v="30"/>
    <s v="011201"/>
  </r>
  <r>
    <x v="3"/>
    <x v="30"/>
    <s v="011202"/>
  </r>
  <r>
    <x v="3"/>
    <x v="30"/>
    <s v="011203"/>
  </r>
  <r>
    <x v="3"/>
    <x v="30"/>
    <s v="011205"/>
  </r>
  <r>
    <x v="3"/>
    <x v="30"/>
    <s v="011206"/>
  </r>
  <r>
    <x v="3"/>
    <x v="30"/>
    <s v="011207"/>
  </r>
  <r>
    <x v="3"/>
    <x v="30"/>
    <s v="011210"/>
  </r>
  <r>
    <x v="3"/>
    <x v="30"/>
    <s v="011216"/>
  </r>
  <r>
    <x v="3"/>
    <x v="30"/>
    <s v="011302"/>
  </r>
  <r>
    <x v="3"/>
    <x v="30"/>
    <s v="011311"/>
  </r>
  <r>
    <x v="3"/>
    <x v="31"/>
    <s v="011301"/>
  </r>
  <r>
    <x v="3"/>
    <x v="31"/>
    <s v="011304"/>
  </r>
  <r>
    <x v="3"/>
    <x v="31"/>
    <s v="011306"/>
  </r>
  <r>
    <x v="3"/>
    <x v="31"/>
    <s v="011307"/>
  </r>
  <r>
    <x v="3"/>
    <x v="31"/>
    <s v="011315"/>
  </r>
  <r>
    <x v="3"/>
    <x v="31"/>
    <s v="011318"/>
  </r>
  <r>
    <x v="3"/>
    <x v="32"/>
    <s v="011001"/>
  </r>
  <r>
    <x v="3"/>
    <x v="32"/>
    <s v="011002"/>
  </r>
  <r>
    <x v="3"/>
    <x v="32"/>
    <s v="011003"/>
  </r>
  <r>
    <x v="3"/>
    <x v="32"/>
    <s v="011004"/>
  </r>
  <r>
    <x v="3"/>
    <x v="32"/>
    <s v="011005"/>
  </r>
  <r>
    <x v="3"/>
    <x v="32"/>
    <s v="011006"/>
  </r>
  <r>
    <x v="3"/>
    <x v="32"/>
    <s v="011007"/>
  </r>
  <r>
    <x v="3"/>
    <x v="32"/>
    <s v="011008"/>
  </r>
  <r>
    <x v="3"/>
    <x v="32"/>
    <s v="011009"/>
  </r>
  <r>
    <x v="3"/>
    <x v="33"/>
    <s v="010701"/>
  </r>
  <r>
    <x v="3"/>
    <x v="33"/>
    <s v="010702"/>
  </r>
  <r>
    <x v="3"/>
    <x v="33"/>
    <s v="010703"/>
  </r>
  <r>
    <x v="3"/>
    <x v="33"/>
    <s v="010704"/>
  </r>
  <r>
    <x v="3"/>
    <x v="33"/>
    <s v="010705"/>
  </r>
  <r>
    <x v="3"/>
    <x v="33"/>
    <s v="010707"/>
  </r>
  <r>
    <x v="3"/>
    <x v="33"/>
    <s v="010709"/>
  </r>
  <r>
    <x v="3"/>
    <x v="33"/>
    <s v="010710"/>
  </r>
  <r>
    <x v="3"/>
    <x v="33"/>
    <s v="010802"/>
  </r>
  <r>
    <x v="3"/>
    <x v="33"/>
    <s v="010803"/>
  </r>
  <r>
    <x v="3"/>
    <x v="33"/>
    <s v="010804"/>
  </r>
  <r>
    <x v="3"/>
    <x v="33"/>
    <s v="010807"/>
  </r>
  <r>
    <x v="3"/>
    <x v="33"/>
    <s v="010808"/>
  </r>
  <r>
    <x v="3"/>
    <x v="33"/>
    <s v="010809"/>
  </r>
  <r>
    <x v="3"/>
    <x v="34"/>
    <s v="010601"/>
  </r>
  <r>
    <x v="3"/>
    <x v="34"/>
    <s v="010602"/>
  </r>
  <r>
    <x v="3"/>
    <x v="34"/>
    <s v="010603"/>
  </r>
  <r>
    <x v="3"/>
    <x v="34"/>
    <s v="010604"/>
  </r>
  <r>
    <x v="3"/>
    <x v="34"/>
    <s v="010605"/>
  </r>
  <r>
    <x v="3"/>
    <x v="34"/>
    <s v="010606"/>
  </r>
  <r>
    <x v="3"/>
    <x v="34"/>
    <s v="010607"/>
  </r>
  <r>
    <x v="3"/>
    <x v="34"/>
    <s v="010608"/>
  </r>
  <r>
    <x v="3"/>
    <x v="34"/>
    <s v="010609"/>
  </r>
  <r>
    <x v="3"/>
    <x v="35"/>
    <s v="010202"/>
  </r>
  <r>
    <x v="3"/>
    <x v="35"/>
    <s v="010204"/>
  </r>
  <r>
    <x v="3"/>
    <x v="35"/>
    <s v="010206"/>
  </r>
  <r>
    <x v="3"/>
    <x v="35"/>
    <s v="010207"/>
  </r>
  <r>
    <x v="3"/>
    <x v="35"/>
    <s v="010210"/>
  </r>
  <r>
    <x v="3"/>
    <x v="35"/>
    <s v="010211"/>
  </r>
  <r>
    <x v="3"/>
    <x v="35"/>
    <s v="010301"/>
  </r>
  <r>
    <x v="3"/>
    <x v="35"/>
    <s v="010304"/>
  </r>
  <r>
    <x v="3"/>
    <x v="35"/>
    <s v="010305"/>
  </r>
  <r>
    <x v="3"/>
    <x v="35"/>
    <s v="010307"/>
  </r>
  <r>
    <x v="3"/>
    <x v="35"/>
    <s v="010308"/>
  </r>
  <r>
    <x v="3"/>
    <x v="35"/>
    <s v="010309"/>
  </r>
  <r>
    <x v="3"/>
    <x v="35"/>
    <s v="011501"/>
  </r>
  <r>
    <x v="3"/>
    <x v="36"/>
    <s v="010402"/>
  </r>
  <r>
    <x v="3"/>
    <x v="36"/>
    <s v="010403"/>
  </r>
  <r>
    <x v="3"/>
    <x v="36"/>
    <s v="010406"/>
  </r>
  <r>
    <x v="3"/>
    <x v="36"/>
    <s v="010409"/>
  </r>
  <r>
    <x v="3"/>
    <x v="36"/>
    <s v="010410"/>
  </r>
  <r>
    <x v="3"/>
    <x v="37"/>
    <s v="011101"/>
  </r>
  <r>
    <x v="3"/>
    <x v="37"/>
    <s v="011102"/>
  </r>
  <r>
    <x v="3"/>
    <x v="37"/>
    <s v="011103"/>
  </r>
  <r>
    <x v="3"/>
    <x v="37"/>
    <s v="011104"/>
  </r>
  <r>
    <x v="3"/>
    <x v="37"/>
    <s v="011106"/>
  </r>
  <r>
    <x v="3"/>
    <x v="37"/>
    <s v="011107"/>
  </r>
  <r>
    <x v="3"/>
    <x v="37"/>
    <s v="011108"/>
  </r>
  <r>
    <x v="3"/>
    <x v="37"/>
    <s v="011109"/>
  </r>
  <r>
    <x v="3"/>
    <x v="37"/>
    <s v="011110"/>
  </r>
  <r>
    <x v="3"/>
    <x v="38"/>
    <s v="010104"/>
  </r>
  <r>
    <x v="3"/>
    <x v="38"/>
    <s v="010106"/>
  </r>
  <r>
    <x v="3"/>
    <x v="38"/>
    <s v="010112"/>
  </r>
  <r>
    <x v="3"/>
    <x v="38"/>
    <s v="010114"/>
  </r>
  <r>
    <x v="3"/>
    <x v="38"/>
    <s v="010115"/>
  </r>
  <r>
    <x v="3"/>
    <x v="38"/>
    <s v="010503"/>
  </r>
  <r>
    <x v="3"/>
    <x v="38"/>
    <s v="010512"/>
  </r>
  <r>
    <x v="4"/>
    <x v="39"/>
    <s v="040701"/>
  </r>
  <r>
    <x v="4"/>
    <x v="39"/>
    <s v="040702"/>
  </r>
  <r>
    <x v="4"/>
    <x v="39"/>
    <s v="040703"/>
  </r>
  <r>
    <x v="4"/>
    <x v="39"/>
    <s v="040706"/>
  </r>
  <r>
    <x v="4"/>
    <x v="39"/>
    <s v="040708"/>
  </r>
  <r>
    <x v="4"/>
    <x v="39"/>
    <s v="040710"/>
  </r>
  <r>
    <x v="4"/>
    <x v="39"/>
    <s v="040711"/>
  </r>
  <r>
    <x v="4"/>
    <x v="39"/>
    <s v="040801"/>
  </r>
  <r>
    <x v="4"/>
    <x v="39"/>
    <s v="040802"/>
  </r>
  <r>
    <x v="4"/>
    <x v="39"/>
    <s v="040803"/>
  </r>
  <r>
    <x v="4"/>
    <x v="39"/>
    <s v="040805"/>
  </r>
  <r>
    <x v="4"/>
    <x v="39"/>
    <s v="040806"/>
  </r>
  <r>
    <x v="4"/>
    <x v="39"/>
    <s v="040808"/>
  </r>
  <r>
    <x v="4"/>
    <x v="39"/>
    <s v="040809"/>
  </r>
  <r>
    <x v="4"/>
    <x v="40"/>
    <s v="040102"/>
  </r>
  <r>
    <x v="4"/>
    <x v="40"/>
    <s v="040106"/>
  </r>
  <r>
    <x v="4"/>
    <x v="40"/>
    <s v="040202"/>
  </r>
  <r>
    <x v="4"/>
    <x v="40"/>
    <s v="040206"/>
  </r>
  <r>
    <x v="4"/>
    <x v="40"/>
    <s v="040207"/>
  </r>
  <r>
    <x v="4"/>
    <x v="40"/>
    <s v="040208"/>
  </r>
  <r>
    <x v="4"/>
    <x v="40"/>
    <s v="040209"/>
  </r>
  <r>
    <x v="4"/>
    <x v="41"/>
    <s v="040401"/>
  </r>
  <r>
    <x v="4"/>
    <x v="41"/>
    <s v="040402"/>
  </r>
  <r>
    <x v="4"/>
    <x v="41"/>
    <s v="040403"/>
  </r>
  <r>
    <x v="4"/>
    <x v="41"/>
    <s v="040404"/>
  </r>
  <r>
    <x v="4"/>
    <x v="41"/>
    <s v="040406"/>
  </r>
  <r>
    <x v="4"/>
    <x v="41"/>
    <s v="040407"/>
  </r>
  <r>
    <x v="4"/>
    <x v="41"/>
    <s v="040707"/>
  </r>
  <r>
    <x v="4"/>
    <x v="42"/>
    <s v="040301"/>
  </r>
  <r>
    <x v="4"/>
    <x v="42"/>
    <s v="040304"/>
  </r>
  <r>
    <x v="4"/>
    <x v="42"/>
    <s v="040306"/>
  </r>
  <r>
    <x v="4"/>
    <x v="42"/>
    <s v="040307"/>
  </r>
  <r>
    <x v="4"/>
    <x v="42"/>
    <s v="040308"/>
  </r>
  <r>
    <x v="4"/>
    <x v="42"/>
    <s v="040310"/>
  </r>
  <r>
    <x v="4"/>
    <x v="42"/>
    <s v="040311"/>
  </r>
  <r>
    <x v="4"/>
    <x v="42"/>
    <s v="040313"/>
  </r>
  <r>
    <x v="4"/>
    <x v="42"/>
    <s v="040314"/>
  </r>
  <r>
    <x v="5"/>
    <x v="43"/>
    <s v="090206"/>
  </r>
  <r>
    <x v="5"/>
    <x v="43"/>
    <s v="090207"/>
  </r>
  <r>
    <x v="5"/>
    <x v="43"/>
    <s v="090208"/>
  </r>
  <r>
    <x v="5"/>
    <x v="43"/>
    <s v="090215"/>
  </r>
  <r>
    <x v="5"/>
    <x v="43"/>
    <s v="090218"/>
  </r>
  <r>
    <x v="5"/>
    <x v="43"/>
    <s v="090315"/>
  </r>
  <r>
    <x v="5"/>
    <x v="43"/>
    <s v="090701"/>
  </r>
  <r>
    <x v="5"/>
    <x v="43"/>
    <s v="090704"/>
  </r>
  <r>
    <x v="5"/>
    <x v="43"/>
    <s v="090705"/>
  </r>
  <r>
    <x v="5"/>
    <x v="43"/>
    <s v="090707"/>
  </r>
  <r>
    <x v="5"/>
    <x v="43"/>
    <s v="090708"/>
  </r>
  <r>
    <x v="5"/>
    <x v="43"/>
    <s v="090709"/>
  </r>
  <r>
    <x v="5"/>
    <x v="43"/>
    <s v="090710"/>
  </r>
  <r>
    <x v="5"/>
    <x v="44"/>
    <s v="090201"/>
  </r>
  <r>
    <x v="5"/>
    <x v="44"/>
    <s v="090202"/>
  </r>
  <r>
    <x v="5"/>
    <x v="44"/>
    <s v="090205"/>
  </r>
  <r>
    <x v="5"/>
    <x v="44"/>
    <s v="090209"/>
  </r>
  <r>
    <x v="5"/>
    <x v="44"/>
    <s v="090216"/>
  </r>
  <r>
    <x v="5"/>
    <x v="44"/>
    <s v="090217"/>
  </r>
  <r>
    <x v="5"/>
    <x v="44"/>
    <s v="090220"/>
  </r>
  <r>
    <x v="5"/>
    <x v="44"/>
    <s v="090221"/>
  </r>
  <r>
    <x v="5"/>
    <x v="44"/>
    <s v="090422"/>
  </r>
  <r>
    <x v="5"/>
    <x v="44"/>
    <s v="090812"/>
  </r>
  <r>
    <x v="5"/>
    <x v="44"/>
    <s v="100806"/>
  </r>
  <r>
    <x v="5"/>
    <x v="44"/>
    <s v="100809"/>
  </r>
  <r>
    <x v="5"/>
    <x v="45"/>
    <s v="090101"/>
  </r>
  <r>
    <x v="5"/>
    <x v="45"/>
    <s v="090102"/>
  </r>
  <r>
    <x v="5"/>
    <x v="45"/>
    <s v="090103"/>
  </r>
  <r>
    <x v="5"/>
    <x v="45"/>
    <s v="090104"/>
  </r>
  <r>
    <x v="5"/>
    <x v="45"/>
    <s v="090107"/>
  </r>
  <r>
    <x v="5"/>
    <x v="45"/>
    <s v="090109"/>
  </r>
  <r>
    <x v="5"/>
    <x v="45"/>
    <s v="090111"/>
  </r>
  <r>
    <x v="5"/>
    <x v="45"/>
    <s v="090113"/>
  </r>
  <r>
    <x v="5"/>
    <x v="45"/>
    <s v="090114"/>
  </r>
  <r>
    <x v="5"/>
    <x v="45"/>
    <s v="090116"/>
  </r>
  <r>
    <x v="5"/>
    <x v="46"/>
    <s v="090601"/>
  </r>
  <r>
    <x v="5"/>
    <x v="46"/>
    <s v="090602"/>
  </r>
  <r>
    <x v="5"/>
    <x v="46"/>
    <s v="090603"/>
  </r>
  <r>
    <x v="5"/>
    <x v="46"/>
    <s v="090604"/>
  </r>
  <r>
    <x v="5"/>
    <x v="46"/>
    <s v="090605"/>
  </r>
  <r>
    <x v="5"/>
    <x v="46"/>
    <s v="090606"/>
  </r>
  <r>
    <x v="5"/>
    <x v="46"/>
    <s v="090607"/>
  </r>
  <r>
    <x v="5"/>
    <x v="46"/>
    <s v="090608"/>
  </r>
  <r>
    <x v="5"/>
    <x v="46"/>
    <s v="090610"/>
  </r>
  <r>
    <x v="5"/>
    <x v="46"/>
    <s v="090611"/>
  </r>
  <r>
    <x v="5"/>
    <x v="46"/>
    <s v="090612"/>
  </r>
  <r>
    <x v="5"/>
    <x v="46"/>
    <s v="090614"/>
  </r>
  <r>
    <x v="5"/>
    <x v="46"/>
    <s v="090615"/>
  </r>
  <r>
    <x v="5"/>
    <x v="47"/>
    <s v="090401"/>
  </r>
  <r>
    <x v="5"/>
    <x v="47"/>
    <s v="090403"/>
  </r>
  <r>
    <x v="5"/>
    <x v="47"/>
    <s v="090404"/>
  </r>
  <r>
    <x v="5"/>
    <x v="47"/>
    <s v="090405"/>
  </r>
  <r>
    <x v="5"/>
    <x v="47"/>
    <s v="090406"/>
  </r>
  <r>
    <x v="5"/>
    <x v="47"/>
    <s v="090408"/>
  </r>
  <r>
    <x v="5"/>
    <x v="47"/>
    <s v="090409"/>
  </r>
  <r>
    <x v="5"/>
    <x v="47"/>
    <s v="090410"/>
  </r>
  <r>
    <x v="5"/>
    <x v="47"/>
    <s v="090411"/>
  </r>
  <r>
    <x v="5"/>
    <x v="47"/>
    <s v="090412"/>
  </r>
  <r>
    <x v="5"/>
    <x v="47"/>
    <s v="090413"/>
  </r>
  <r>
    <x v="5"/>
    <x v="47"/>
    <s v="090415"/>
  </r>
  <r>
    <x v="5"/>
    <x v="47"/>
    <s v="090417"/>
  </r>
  <r>
    <x v="5"/>
    <x v="47"/>
    <s v="090418"/>
  </r>
  <r>
    <x v="5"/>
    <x v="47"/>
    <s v="090420"/>
  </r>
  <r>
    <x v="5"/>
    <x v="48"/>
    <s v="070705"/>
  </r>
  <r>
    <x v="5"/>
    <x v="48"/>
    <s v="090501"/>
  </r>
  <r>
    <x v="5"/>
    <x v="48"/>
    <s v="090502"/>
  </r>
  <r>
    <x v="5"/>
    <x v="48"/>
    <s v="090503"/>
  </r>
  <r>
    <x v="5"/>
    <x v="48"/>
    <s v="090505"/>
  </r>
  <r>
    <x v="5"/>
    <x v="48"/>
    <s v="090510"/>
  </r>
  <r>
    <x v="5"/>
    <x v="48"/>
    <s v="090511"/>
  </r>
  <r>
    <x v="5"/>
    <x v="48"/>
    <s v="090512"/>
  </r>
  <r>
    <x v="5"/>
    <x v="48"/>
    <s v="090513"/>
  </r>
  <r>
    <x v="5"/>
    <x v="48"/>
    <s v="090514"/>
  </r>
  <r>
    <x v="5"/>
    <x v="48"/>
    <s v="090515"/>
  </r>
  <r>
    <x v="5"/>
    <x v="48"/>
    <s v="090517"/>
  </r>
  <r>
    <x v="5"/>
    <x v="48"/>
    <s v="090518"/>
  </r>
  <r>
    <x v="5"/>
    <x v="49"/>
    <s v="090801"/>
  </r>
  <r>
    <x v="5"/>
    <x v="49"/>
    <s v="090805"/>
  </r>
  <r>
    <x v="5"/>
    <x v="49"/>
    <s v="090806"/>
  </r>
  <r>
    <x v="5"/>
    <x v="49"/>
    <s v="090816"/>
  </r>
  <r>
    <x v="5"/>
    <x v="49"/>
    <s v="090818"/>
  </r>
  <r>
    <x v="5"/>
    <x v="49"/>
    <s v="090901"/>
  </r>
  <r>
    <x v="5"/>
    <x v="49"/>
    <s v="090903"/>
  </r>
  <r>
    <x v="5"/>
    <x v="49"/>
    <s v="090904"/>
  </r>
  <r>
    <x v="5"/>
    <x v="49"/>
    <s v="090909"/>
  </r>
  <r>
    <x v="5"/>
    <x v="49"/>
    <s v="090910"/>
  </r>
  <r>
    <x v="5"/>
    <x v="49"/>
    <s v="090912"/>
  </r>
  <r>
    <x v="5"/>
    <x v="49"/>
    <s v="090914"/>
  </r>
  <r>
    <x v="5"/>
    <x v="49"/>
    <s v="090917"/>
  </r>
  <r>
    <x v="5"/>
    <x v="49"/>
    <s v="090918"/>
  </r>
  <r>
    <x v="5"/>
    <x v="50"/>
    <s v="090301"/>
  </r>
  <r>
    <x v="5"/>
    <x v="50"/>
    <s v="090302"/>
  </r>
  <r>
    <x v="5"/>
    <x v="50"/>
    <s v="090303"/>
  </r>
  <r>
    <x v="5"/>
    <x v="50"/>
    <s v="090304"/>
  </r>
  <r>
    <x v="5"/>
    <x v="50"/>
    <s v="090308"/>
  </r>
  <r>
    <x v="5"/>
    <x v="50"/>
    <s v="090309"/>
  </r>
  <r>
    <x v="5"/>
    <x v="50"/>
    <s v="090310"/>
  </r>
  <r>
    <x v="5"/>
    <x v="50"/>
    <s v="090311"/>
  </r>
  <r>
    <x v="5"/>
    <x v="50"/>
    <s v="090312"/>
  </r>
  <r>
    <x v="5"/>
    <x v="50"/>
    <s v="090313"/>
  </r>
  <r>
    <x v="5"/>
    <x v="50"/>
    <s v="090314"/>
  </r>
  <r>
    <x v="5"/>
    <x v="50"/>
    <s v="090402"/>
  </r>
  <r>
    <x v="5"/>
    <x v="50"/>
    <s v="090404"/>
  </r>
  <r>
    <x v="5"/>
    <x v="50"/>
    <s v="090419"/>
  </r>
  <r>
    <x v="5"/>
    <x v="50"/>
    <s v="090421"/>
  </r>
  <r>
    <x v="6"/>
    <x v="51"/>
    <s v="030305"/>
  </r>
  <r>
    <x v="6"/>
    <x v="51"/>
    <s v="030306"/>
  </r>
  <r>
    <x v="6"/>
    <x v="51"/>
    <s v="030309"/>
  </r>
  <r>
    <x v="6"/>
    <x v="51"/>
    <s v="030310"/>
  </r>
  <r>
    <x v="6"/>
    <x v="51"/>
    <s v="030311"/>
  </r>
  <r>
    <x v="6"/>
    <x v="51"/>
    <s v="030312"/>
  </r>
  <r>
    <x v="6"/>
    <x v="51"/>
    <s v="030315"/>
  </r>
  <r>
    <x v="6"/>
    <x v="51"/>
    <s v="030316"/>
  </r>
  <r>
    <x v="6"/>
    <x v="51"/>
    <s v="030317"/>
  </r>
  <r>
    <x v="6"/>
    <x v="52"/>
    <s v="030501"/>
  </r>
  <r>
    <x v="6"/>
    <x v="52"/>
    <s v="030502"/>
  </r>
  <r>
    <x v="6"/>
    <x v="52"/>
    <s v="030503"/>
  </r>
  <r>
    <x v="6"/>
    <x v="52"/>
    <s v="030504"/>
  </r>
  <r>
    <x v="6"/>
    <x v="52"/>
    <s v="030505"/>
  </r>
  <r>
    <x v="6"/>
    <x v="52"/>
    <s v="030506"/>
  </r>
  <r>
    <x v="6"/>
    <x v="52"/>
    <s v="030507"/>
  </r>
  <r>
    <x v="6"/>
    <x v="52"/>
    <s v="030508"/>
  </r>
  <r>
    <x v="6"/>
    <x v="52"/>
    <s v="030510"/>
  </r>
  <r>
    <x v="6"/>
    <x v="52"/>
    <s v="030511"/>
  </r>
  <r>
    <x v="6"/>
    <x v="52"/>
    <s v="030512"/>
  </r>
  <r>
    <x v="6"/>
    <x v="52"/>
    <s v="030513"/>
  </r>
  <r>
    <x v="6"/>
    <x v="52"/>
    <s v="030514"/>
  </r>
  <r>
    <x v="6"/>
    <x v="52"/>
    <s v="030515"/>
  </r>
  <r>
    <x v="6"/>
    <x v="52"/>
    <s v="030516"/>
  </r>
  <r>
    <x v="6"/>
    <x v="52"/>
    <s v="030517"/>
  </r>
  <r>
    <x v="6"/>
    <x v="52"/>
    <s v="030518"/>
  </r>
  <r>
    <x v="6"/>
    <x v="52"/>
    <s v="030519"/>
  </r>
  <r>
    <x v="6"/>
    <x v="53"/>
    <s v="030401"/>
  </r>
  <r>
    <x v="6"/>
    <x v="53"/>
    <s v="030402"/>
  </r>
  <r>
    <x v="6"/>
    <x v="53"/>
    <s v="030403"/>
  </r>
  <r>
    <x v="6"/>
    <x v="53"/>
    <s v="030404"/>
  </r>
  <r>
    <x v="6"/>
    <x v="53"/>
    <s v="030405"/>
  </r>
  <r>
    <x v="6"/>
    <x v="53"/>
    <s v="030407"/>
  </r>
  <r>
    <x v="6"/>
    <x v="53"/>
    <s v="030408"/>
  </r>
  <r>
    <x v="6"/>
    <x v="53"/>
    <s v="030409"/>
  </r>
  <r>
    <x v="6"/>
    <x v="53"/>
    <s v="030422"/>
  </r>
  <r>
    <x v="6"/>
    <x v="53"/>
    <s v="030423"/>
  </r>
  <r>
    <x v="6"/>
    <x v="53"/>
    <s v="030424"/>
  </r>
  <r>
    <x v="6"/>
    <x v="53"/>
    <s v="030602"/>
  </r>
  <r>
    <x v="6"/>
    <x v="53"/>
    <s v="030604"/>
  </r>
  <r>
    <x v="6"/>
    <x v="53"/>
    <s v="030614"/>
  </r>
  <r>
    <x v="6"/>
    <x v="54"/>
    <s v="030213"/>
  </r>
  <r>
    <x v="6"/>
    <x v="54"/>
    <s v="030214"/>
  </r>
  <r>
    <x v="6"/>
    <x v="54"/>
    <s v="030215"/>
  </r>
  <r>
    <x v="6"/>
    <x v="54"/>
    <s v="030301"/>
  </r>
  <r>
    <x v="6"/>
    <x v="54"/>
    <s v="030307"/>
  </r>
  <r>
    <x v="6"/>
    <x v="54"/>
    <s v="030308"/>
  </r>
  <r>
    <x v="6"/>
    <x v="54"/>
    <s v="030313"/>
  </r>
  <r>
    <x v="6"/>
    <x v="54"/>
    <s v="030320"/>
  </r>
  <r>
    <x v="6"/>
    <x v="55"/>
    <s v="030202"/>
  </r>
  <r>
    <x v="6"/>
    <x v="55"/>
    <s v="030203"/>
  </r>
  <r>
    <x v="6"/>
    <x v="55"/>
    <s v="030204"/>
  </r>
  <r>
    <x v="6"/>
    <x v="55"/>
    <s v="030207"/>
  </r>
  <r>
    <x v="6"/>
    <x v="55"/>
    <s v="030208"/>
  </r>
  <r>
    <x v="6"/>
    <x v="55"/>
    <s v="030209"/>
  </r>
  <r>
    <x v="6"/>
    <x v="55"/>
    <s v="030210"/>
  </r>
  <r>
    <x v="6"/>
    <x v="55"/>
    <s v="030211"/>
  </r>
  <r>
    <x v="6"/>
    <x v="56"/>
    <s v="030903"/>
  </r>
  <r>
    <x v="6"/>
    <x v="56"/>
    <s v="030908"/>
  </r>
  <r>
    <x v="6"/>
    <x v="56"/>
    <s v="031103"/>
  </r>
  <r>
    <x v="6"/>
    <x v="56"/>
    <s v="031105"/>
  </r>
  <r>
    <x v="6"/>
    <x v="56"/>
    <s v="031107"/>
  </r>
  <r>
    <x v="6"/>
    <x v="56"/>
    <s v="031108"/>
  </r>
  <r>
    <x v="6"/>
    <x v="56"/>
    <s v="031109"/>
  </r>
  <r>
    <x v="6"/>
    <x v="56"/>
    <s v="031110"/>
  </r>
  <r>
    <x v="6"/>
    <x v="56"/>
    <s v="031111"/>
  </r>
  <r>
    <x v="6"/>
    <x v="56"/>
    <s v="031112"/>
  </r>
  <r>
    <x v="6"/>
    <x v="56"/>
    <s v="031113"/>
  </r>
  <r>
    <x v="6"/>
    <x v="56"/>
    <s v="031114"/>
  </r>
  <r>
    <x v="6"/>
    <x v="56"/>
    <s v="031115"/>
  </r>
  <r>
    <x v="6"/>
    <x v="56"/>
    <s v="031116"/>
  </r>
  <r>
    <x v="6"/>
    <x v="56"/>
    <s v="031117"/>
  </r>
  <r>
    <x v="6"/>
    <x v="56"/>
    <s v="031118"/>
  </r>
  <r>
    <x v="6"/>
    <x v="56"/>
    <s v="031119"/>
  </r>
  <r>
    <x v="6"/>
    <x v="56"/>
    <s v="031120"/>
  </r>
  <r>
    <x v="6"/>
    <x v="56"/>
    <s v="031121"/>
  </r>
  <r>
    <x v="6"/>
    <x v="57"/>
    <s v="030601"/>
  </r>
  <r>
    <x v="6"/>
    <x v="57"/>
    <s v="030603"/>
  </r>
  <r>
    <x v="6"/>
    <x v="57"/>
    <s v="030605"/>
  </r>
  <r>
    <x v="6"/>
    <x v="57"/>
    <s v="030606"/>
  </r>
  <r>
    <x v="6"/>
    <x v="57"/>
    <s v="030607"/>
  </r>
  <r>
    <x v="6"/>
    <x v="57"/>
    <s v="030608"/>
  </r>
  <r>
    <x v="6"/>
    <x v="57"/>
    <s v="030612"/>
  </r>
  <r>
    <x v="6"/>
    <x v="57"/>
    <s v="030613"/>
  </r>
  <r>
    <x v="6"/>
    <x v="57"/>
    <s v="030615"/>
  </r>
  <r>
    <x v="6"/>
    <x v="58"/>
    <s v="030411"/>
  </r>
  <r>
    <x v="6"/>
    <x v="58"/>
    <s v="030414"/>
  </r>
  <r>
    <x v="6"/>
    <x v="58"/>
    <s v="030418"/>
  </r>
  <r>
    <x v="6"/>
    <x v="58"/>
    <s v="030701"/>
  </r>
  <r>
    <x v="6"/>
    <x v="58"/>
    <s v="030702"/>
  </r>
  <r>
    <x v="6"/>
    <x v="58"/>
    <s v="030703"/>
  </r>
  <r>
    <x v="6"/>
    <x v="58"/>
    <s v="030705"/>
  </r>
  <r>
    <x v="6"/>
    <x v="58"/>
    <s v="030706"/>
  </r>
  <r>
    <x v="6"/>
    <x v="58"/>
    <s v="030707"/>
  </r>
  <r>
    <x v="6"/>
    <x v="58"/>
    <s v="030708"/>
  </r>
  <r>
    <x v="6"/>
    <x v="58"/>
    <s v="030709"/>
  </r>
  <r>
    <x v="6"/>
    <x v="58"/>
    <s v="030710"/>
  </r>
  <r>
    <x v="6"/>
    <x v="58"/>
    <s v="030711"/>
  </r>
  <r>
    <x v="6"/>
    <x v="58"/>
    <s v="030714"/>
  </r>
  <r>
    <x v="6"/>
    <x v="58"/>
    <s v="030715"/>
  </r>
  <r>
    <x v="6"/>
    <x v="59"/>
    <s v="030101"/>
  </r>
  <r>
    <x v="6"/>
    <x v="59"/>
    <s v="030102"/>
  </r>
  <r>
    <x v="6"/>
    <x v="59"/>
    <s v="030103"/>
  </r>
  <r>
    <x v="6"/>
    <x v="59"/>
    <s v="030104"/>
  </r>
  <r>
    <x v="6"/>
    <x v="59"/>
    <s v="030105"/>
  </r>
  <r>
    <x v="6"/>
    <x v="59"/>
    <s v="030106"/>
  </r>
  <r>
    <x v="6"/>
    <x v="59"/>
    <s v="030107"/>
  </r>
  <r>
    <x v="6"/>
    <x v="59"/>
    <s v="030112"/>
  </r>
  <r>
    <x v="6"/>
    <x v="59"/>
    <s v="030113"/>
  </r>
  <r>
    <x v="6"/>
    <x v="59"/>
    <s v="030304"/>
  </r>
  <r>
    <x v="6"/>
    <x v="59"/>
    <s v="030321"/>
  </r>
  <r>
    <x v="6"/>
    <x v="60"/>
    <s v="030801"/>
  </r>
  <r>
    <x v="6"/>
    <x v="60"/>
    <s v="030803"/>
  </r>
  <r>
    <x v="6"/>
    <x v="60"/>
    <s v="030804"/>
  </r>
  <r>
    <x v="6"/>
    <x v="60"/>
    <s v="030805"/>
  </r>
  <r>
    <x v="6"/>
    <x v="60"/>
    <s v="030806"/>
  </r>
  <r>
    <x v="6"/>
    <x v="60"/>
    <s v="030807"/>
  </r>
  <r>
    <x v="6"/>
    <x v="60"/>
    <s v="030808"/>
  </r>
  <r>
    <x v="6"/>
    <x v="60"/>
    <s v="030809"/>
  </r>
  <r>
    <x v="6"/>
    <x v="60"/>
    <s v="030810"/>
  </r>
  <r>
    <x v="6"/>
    <x v="60"/>
    <s v="030811"/>
  </r>
  <r>
    <x v="6"/>
    <x v="60"/>
    <s v="030812"/>
  </r>
  <r>
    <x v="6"/>
    <x v="60"/>
    <s v="030901"/>
  </r>
  <r>
    <x v="6"/>
    <x v="60"/>
    <s v="030904"/>
  </r>
  <r>
    <x v="6"/>
    <x v="60"/>
    <s v="030907"/>
  </r>
  <r>
    <x v="6"/>
    <x v="60"/>
    <s v="030910"/>
  </r>
  <r>
    <x v="6"/>
    <x v="60"/>
    <s v="030911"/>
  </r>
  <r>
    <x v="6"/>
    <x v="60"/>
    <s v="030912"/>
  </r>
  <r>
    <x v="6"/>
    <x v="60"/>
    <s v="030913"/>
  </r>
  <r>
    <x v="6"/>
    <x v="60"/>
    <s v="030915"/>
  </r>
  <r>
    <x v="6"/>
    <x v="60"/>
    <s v="030917"/>
  </r>
  <r>
    <x v="6"/>
    <x v="61"/>
    <s v="031201"/>
  </r>
  <r>
    <x v="6"/>
    <x v="61"/>
    <s v="031204"/>
  </r>
  <r>
    <x v="6"/>
    <x v="61"/>
    <s v="031206"/>
  </r>
  <r>
    <x v="6"/>
    <x v="61"/>
    <s v="031208"/>
  </r>
  <r>
    <x v="6"/>
    <x v="61"/>
    <s v="031212"/>
  </r>
  <r>
    <x v="6"/>
    <x v="61"/>
    <s v="031214"/>
  </r>
  <r>
    <x v="6"/>
    <x v="61"/>
    <s v="031215"/>
  </r>
  <r>
    <x v="6"/>
    <x v="61"/>
    <s v="031217"/>
  </r>
  <r>
    <x v="6"/>
    <x v="61"/>
    <s v="031218"/>
  </r>
  <r>
    <x v="6"/>
    <x v="61"/>
    <s v="031219"/>
  </r>
  <r>
    <x v="6"/>
    <x v="61"/>
    <s v="031220"/>
  </r>
  <r>
    <x v="6"/>
    <x v="62"/>
    <s v="030704"/>
  </r>
  <r>
    <x v="6"/>
    <x v="62"/>
    <s v="030712"/>
  </r>
  <r>
    <x v="6"/>
    <x v="62"/>
    <s v="031001"/>
  </r>
  <r>
    <x v="6"/>
    <x v="62"/>
    <s v="031002"/>
  </r>
  <r>
    <x v="6"/>
    <x v="62"/>
    <s v="031003"/>
  </r>
  <r>
    <x v="6"/>
    <x v="62"/>
    <s v="031004"/>
  </r>
  <r>
    <x v="6"/>
    <x v="62"/>
    <s v="031005"/>
  </r>
  <r>
    <x v="6"/>
    <x v="62"/>
    <s v="031006"/>
  </r>
  <r>
    <x v="6"/>
    <x v="62"/>
    <s v="031007"/>
  </r>
  <r>
    <x v="6"/>
    <x v="62"/>
    <s v="031009"/>
  </r>
  <r>
    <x v="6"/>
    <x v="62"/>
    <s v="031010"/>
  </r>
  <r>
    <x v="6"/>
    <x v="62"/>
    <s v="031011"/>
  </r>
  <r>
    <x v="6"/>
    <x v="62"/>
    <s v="031012"/>
  </r>
  <r>
    <x v="6"/>
    <x v="62"/>
    <s v="031013"/>
  </r>
  <r>
    <x v="6"/>
    <x v="62"/>
    <s v="031015"/>
  </r>
  <r>
    <x v="7"/>
    <x v="63"/>
    <s v="070701"/>
  </r>
  <r>
    <x v="7"/>
    <x v="63"/>
    <s v="070705"/>
  </r>
  <r>
    <x v="7"/>
    <x v="63"/>
    <s v="070710"/>
  </r>
  <r>
    <x v="7"/>
    <x v="63"/>
    <s v="070711"/>
  </r>
  <r>
    <x v="7"/>
    <x v="63"/>
    <s v="070712"/>
  </r>
  <r>
    <x v="7"/>
    <x v="63"/>
    <s v="070914"/>
  </r>
  <r>
    <x v="7"/>
    <x v="63"/>
    <s v="070919"/>
  </r>
  <r>
    <x v="7"/>
    <x v="63"/>
    <s v="070922"/>
  </r>
  <r>
    <x v="7"/>
    <x v="64"/>
    <s v="070902"/>
  </r>
  <r>
    <x v="7"/>
    <x v="64"/>
    <s v="070903"/>
  </r>
  <r>
    <x v="7"/>
    <x v="64"/>
    <s v="070904"/>
  </r>
  <r>
    <x v="7"/>
    <x v="64"/>
    <s v="070905"/>
  </r>
  <r>
    <x v="7"/>
    <x v="64"/>
    <s v="070906"/>
  </r>
  <r>
    <x v="7"/>
    <x v="64"/>
    <s v="070910"/>
  </r>
  <r>
    <x v="7"/>
    <x v="64"/>
    <s v="070911"/>
  </r>
  <r>
    <x v="7"/>
    <x v="64"/>
    <s v="070913"/>
  </r>
  <r>
    <x v="7"/>
    <x v="64"/>
    <s v="070917"/>
  </r>
  <r>
    <x v="7"/>
    <x v="64"/>
    <s v="070923"/>
  </r>
  <r>
    <x v="7"/>
    <x v="64"/>
    <s v="070925"/>
  </r>
  <r>
    <x v="7"/>
    <x v="65"/>
    <s v="070702"/>
  </r>
  <r>
    <x v="7"/>
    <x v="65"/>
    <s v="070706"/>
  </r>
  <r>
    <x v="7"/>
    <x v="65"/>
    <s v="070707"/>
  </r>
  <r>
    <x v="7"/>
    <x v="65"/>
    <s v="070708"/>
  </r>
  <r>
    <x v="7"/>
    <x v="65"/>
    <s v="070801"/>
  </r>
  <r>
    <x v="7"/>
    <x v="65"/>
    <s v="070804"/>
  </r>
  <r>
    <x v="7"/>
    <x v="65"/>
    <s v="070805"/>
  </r>
  <r>
    <x v="7"/>
    <x v="65"/>
    <s v="070807"/>
  </r>
  <r>
    <x v="7"/>
    <x v="65"/>
    <s v="070808"/>
  </r>
  <r>
    <x v="7"/>
    <x v="65"/>
    <s v="070809"/>
  </r>
  <r>
    <x v="7"/>
    <x v="65"/>
    <s v="070810"/>
  </r>
  <r>
    <x v="7"/>
    <x v="65"/>
    <s v="070819"/>
  </r>
  <r>
    <x v="7"/>
    <x v="66"/>
    <s v="071102"/>
  </r>
  <r>
    <x v="7"/>
    <x v="66"/>
    <s v="071103"/>
  </r>
  <r>
    <x v="7"/>
    <x v="66"/>
    <s v="071106"/>
  </r>
  <r>
    <x v="7"/>
    <x v="66"/>
    <s v="071108"/>
  </r>
  <r>
    <x v="7"/>
    <x v="66"/>
    <s v="071109"/>
  </r>
  <r>
    <x v="7"/>
    <x v="66"/>
    <s v="071110"/>
  </r>
  <r>
    <x v="7"/>
    <x v="66"/>
    <s v="071112"/>
  </r>
  <r>
    <x v="7"/>
    <x v="66"/>
    <s v="071114"/>
  </r>
  <r>
    <x v="7"/>
    <x v="66"/>
    <s v="071116"/>
  </r>
  <r>
    <x v="7"/>
    <x v="66"/>
    <s v="080601"/>
  </r>
  <r>
    <x v="7"/>
    <x v="66"/>
    <s v="080603"/>
  </r>
  <r>
    <x v="7"/>
    <x v="66"/>
    <s v="080605"/>
  </r>
  <r>
    <x v="7"/>
    <x v="66"/>
    <s v="090701"/>
  </r>
  <r>
    <x v="7"/>
    <x v="66"/>
    <s v="090702"/>
  </r>
  <r>
    <x v="7"/>
    <x v="67"/>
    <s v="071001"/>
  </r>
  <r>
    <x v="7"/>
    <x v="67"/>
    <s v="071002"/>
  </r>
  <r>
    <x v="7"/>
    <x v="67"/>
    <s v="071004"/>
  </r>
  <r>
    <x v="7"/>
    <x v="67"/>
    <s v="071005"/>
  </r>
  <r>
    <x v="7"/>
    <x v="67"/>
    <s v="071006"/>
  </r>
  <r>
    <x v="7"/>
    <x v="67"/>
    <s v="071010"/>
  </r>
  <r>
    <x v="7"/>
    <x v="67"/>
    <s v="071013"/>
  </r>
  <r>
    <x v="7"/>
    <x v="68"/>
    <s v="070403"/>
  </r>
  <r>
    <x v="7"/>
    <x v="68"/>
    <s v="070404"/>
  </r>
  <r>
    <x v="7"/>
    <x v="68"/>
    <s v="070405"/>
  </r>
  <r>
    <x v="7"/>
    <x v="68"/>
    <s v="070406"/>
  </r>
  <r>
    <x v="7"/>
    <x v="68"/>
    <s v="070413"/>
  </r>
  <r>
    <x v="7"/>
    <x v="69"/>
    <s v="070502"/>
  </r>
  <r>
    <x v="7"/>
    <x v="69"/>
    <s v="070504"/>
  </r>
  <r>
    <x v="7"/>
    <x v="69"/>
    <s v="070505"/>
  </r>
  <r>
    <x v="7"/>
    <x v="69"/>
    <s v="070506"/>
  </r>
  <r>
    <x v="7"/>
    <x v="69"/>
    <s v="070508"/>
  </r>
  <r>
    <x v="7"/>
    <x v="69"/>
    <s v="070509"/>
  </r>
  <r>
    <x v="7"/>
    <x v="69"/>
    <s v="070512"/>
  </r>
  <r>
    <x v="7"/>
    <x v="70"/>
    <s v="070802"/>
  </r>
  <r>
    <x v="7"/>
    <x v="70"/>
    <s v="070803"/>
  </r>
  <r>
    <x v="7"/>
    <x v="70"/>
    <s v="070815"/>
  </r>
  <r>
    <x v="7"/>
    <x v="70"/>
    <s v="070816"/>
  </r>
  <r>
    <x v="7"/>
    <x v="70"/>
    <s v="070817"/>
  </r>
  <r>
    <x v="7"/>
    <x v="70"/>
    <s v="071201"/>
  </r>
  <r>
    <x v="7"/>
    <x v="71"/>
    <s v="070302"/>
  </r>
  <r>
    <x v="7"/>
    <x v="71"/>
    <s v="070309"/>
  </r>
  <r>
    <x v="7"/>
    <x v="71"/>
    <s v="070311"/>
  </r>
  <r>
    <x v="7"/>
    <x v="71"/>
    <s v="070313"/>
  </r>
  <r>
    <x v="7"/>
    <x v="71"/>
    <s v="070601"/>
  </r>
  <r>
    <x v="7"/>
    <x v="71"/>
    <s v="070602"/>
  </r>
  <r>
    <x v="7"/>
    <x v="71"/>
    <s v="070603"/>
  </r>
  <r>
    <x v="7"/>
    <x v="71"/>
    <s v="070606"/>
  </r>
  <r>
    <x v="7"/>
    <x v="71"/>
    <s v="070607"/>
  </r>
  <r>
    <x v="7"/>
    <x v="71"/>
    <s v="070608"/>
  </r>
  <r>
    <x v="7"/>
    <x v="71"/>
    <s v="070609"/>
  </r>
  <r>
    <x v="7"/>
    <x v="71"/>
    <s v="070610"/>
  </r>
  <r>
    <x v="7"/>
    <x v="71"/>
    <s v="070611"/>
  </r>
  <r>
    <x v="7"/>
    <x v="71"/>
    <s v="070612"/>
  </r>
  <r>
    <x v="7"/>
    <x v="71"/>
    <s v="070614"/>
  </r>
  <r>
    <x v="7"/>
    <x v="72"/>
    <s v="070102"/>
  </r>
  <r>
    <x v="7"/>
    <x v="72"/>
    <s v="070103"/>
  </r>
  <r>
    <x v="7"/>
    <x v="72"/>
    <s v="070104"/>
  </r>
  <r>
    <x v="7"/>
    <x v="72"/>
    <s v="070105"/>
  </r>
  <r>
    <x v="7"/>
    <x v="72"/>
    <s v="070106"/>
  </r>
  <r>
    <x v="7"/>
    <x v="72"/>
    <s v="070108"/>
  </r>
  <r>
    <x v="7"/>
    <x v="72"/>
    <s v="070109"/>
  </r>
  <r>
    <x v="7"/>
    <x v="72"/>
    <s v="070110"/>
  </r>
  <r>
    <x v="7"/>
    <x v="72"/>
    <s v="070111"/>
  </r>
  <r>
    <x v="7"/>
    <x v="72"/>
    <s v="070501"/>
  </r>
  <r>
    <x v="7"/>
    <x v="72"/>
    <s v="070506"/>
  </r>
  <r>
    <x v="7"/>
    <x v="72"/>
    <s v="070511"/>
  </r>
  <r>
    <x v="7"/>
    <x v="72"/>
    <s v="071113"/>
  </r>
  <r>
    <x v="7"/>
    <x v="73"/>
    <s v="070201"/>
  </r>
  <r>
    <x v="7"/>
    <x v="73"/>
    <s v="070202"/>
  </r>
  <r>
    <x v="7"/>
    <x v="73"/>
    <s v="070203"/>
  </r>
  <r>
    <x v="7"/>
    <x v="73"/>
    <s v="070205"/>
  </r>
  <r>
    <x v="7"/>
    <x v="73"/>
    <s v="070206"/>
  </r>
  <r>
    <x v="7"/>
    <x v="73"/>
    <s v="070207"/>
  </r>
  <r>
    <x v="7"/>
    <x v="73"/>
    <s v="070208"/>
  </r>
  <r>
    <x v="7"/>
    <x v="73"/>
    <s v="070213"/>
  </r>
  <r>
    <x v="7"/>
    <x v="73"/>
    <s v="070214"/>
  </r>
  <r>
    <x v="7"/>
    <x v="73"/>
    <s v="070215"/>
  </r>
  <r>
    <x v="7"/>
    <x v="73"/>
    <s v="070304"/>
  </r>
  <r>
    <x v="7"/>
    <x v="73"/>
    <s v="070307"/>
  </r>
  <r>
    <x v="7"/>
    <x v="73"/>
    <s v="070310"/>
  </r>
  <r>
    <x v="7"/>
    <x v="73"/>
    <s v="070312"/>
  </r>
  <r>
    <x v="7"/>
    <x v="73"/>
    <s v="071104"/>
  </r>
  <r>
    <x v="7"/>
    <x v="73"/>
    <s v="071111"/>
  </r>
  <r>
    <x v="8"/>
    <x v="74"/>
    <s v="060501"/>
  </r>
  <r>
    <x v="8"/>
    <x v="74"/>
    <s v="060506"/>
  </r>
  <r>
    <x v="8"/>
    <x v="74"/>
    <s v="060510"/>
  </r>
  <r>
    <x v="8"/>
    <x v="74"/>
    <s v="060514"/>
  </r>
  <r>
    <x v="8"/>
    <x v="74"/>
    <s v="060602"/>
  </r>
  <r>
    <x v="8"/>
    <x v="74"/>
    <s v="060603"/>
  </r>
  <r>
    <x v="8"/>
    <x v="74"/>
    <s v="060605"/>
  </r>
  <r>
    <x v="8"/>
    <x v="74"/>
    <s v="060606"/>
  </r>
  <r>
    <x v="8"/>
    <x v="74"/>
    <s v="060614"/>
  </r>
  <r>
    <x v="8"/>
    <x v="75"/>
    <s v="060601"/>
  </r>
  <r>
    <x v="8"/>
    <x v="75"/>
    <s v="060608"/>
  </r>
  <r>
    <x v="8"/>
    <x v="75"/>
    <s v="060609"/>
  </r>
  <r>
    <x v="8"/>
    <x v="75"/>
    <s v="060610"/>
  </r>
  <r>
    <x v="8"/>
    <x v="75"/>
    <s v="060615"/>
  </r>
  <r>
    <x v="8"/>
    <x v="75"/>
    <s v="060707"/>
  </r>
  <r>
    <x v="8"/>
    <x v="75"/>
    <s v="060709"/>
  </r>
  <r>
    <x v="8"/>
    <x v="75"/>
    <s v="060801"/>
  </r>
  <r>
    <x v="8"/>
    <x v="75"/>
    <s v="060802"/>
  </r>
  <r>
    <x v="8"/>
    <x v="75"/>
    <s v="060804"/>
  </r>
  <r>
    <x v="8"/>
    <x v="75"/>
    <s v="060805"/>
  </r>
  <r>
    <x v="8"/>
    <x v="75"/>
    <s v="060806"/>
  </r>
  <r>
    <x v="8"/>
    <x v="75"/>
    <s v="060812"/>
  </r>
  <r>
    <x v="8"/>
    <x v="76"/>
    <s v="060401"/>
  </r>
  <r>
    <x v="8"/>
    <x v="76"/>
    <s v="060402"/>
  </r>
  <r>
    <x v="8"/>
    <x v="76"/>
    <s v="060406"/>
  </r>
  <r>
    <x v="8"/>
    <x v="76"/>
    <s v="060407"/>
  </r>
  <r>
    <x v="8"/>
    <x v="76"/>
    <s v="060408"/>
  </r>
  <r>
    <x v="8"/>
    <x v="76"/>
    <s v="060411"/>
  </r>
  <r>
    <x v="8"/>
    <x v="76"/>
    <s v="060413"/>
  </r>
  <r>
    <x v="8"/>
    <x v="77"/>
    <s v="060701"/>
  </r>
  <r>
    <x v="8"/>
    <x v="77"/>
    <s v="060703"/>
  </r>
  <r>
    <x v="8"/>
    <x v="77"/>
    <s v="060704"/>
  </r>
  <r>
    <x v="8"/>
    <x v="77"/>
    <s v="060706"/>
  </r>
  <r>
    <x v="8"/>
    <x v="77"/>
    <s v="060711"/>
  </r>
  <r>
    <x v="8"/>
    <x v="77"/>
    <s v="060712"/>
  </r>
  <r>
    <x v="8"/>
    <x v="77"/>
    <s v="060803"/>
  </r>
  <r>
    <x v="8"/>
    <x v="77"/>
    <s v="060807"/>
  </r>
  <r>
    <x v="8"/>
    <x v="77"/>
    <s v="060808"/>
  </r>
  <r>
    <x v="8"/>
    <x v="78"/>
    <s v="060503"/>
  </r>
  <r>
    <x v="8"/>
    <x v="78"/>
    <s v="060511"/>
  </r>
  <r>
    <x v="8"/>
    <x v="78"/>
    <s v="060513"/>
  </r>
  <r>
    <x v="8"/>
    <x v="78"/>
    <s v="060702"/>
  </r>
  <r>
    <x v="8"/>
    <x v="78"/>
    <s v="060705"/>
  </r>
  <r>
    <x v="8"/>
    <x v="78"/>
    <s v="060708"/>
  </r>
  <r>
    <x v="8"/>
    <x v="78"/>
    <s v="060710"/>
  </r>
  <r>
    <x v="8"/>
    <x v="78"/>
    <s v="060713"/>
  </r>
  <r>
    <x v="8"/>
    <x v="78"/>
    <s v="060714"/>
  </r>
  <r>
    <x v="8"/>
    <x v="79"/>
    <s v="060202"/>
  </r>
  <r>
    <x v="8"/>
    <x v="79"/>
    <s v="060210"/>
  </r>
  <r>
    <x v="8"/>
    <x v="79"/>
    <s v="060212"/>
  </r>
  <r>
    <x v="8"/>
    <x v="79"/>
    <s v="060504"/>
  </r>
  <r>
    <x v="8"/>
    <x v="79"/>
    <s v="060505"/>
  </r>
  <r>
    <x v="8"/>
    <x v="79"/>
    <s v="060507"/>
  </r>
  <r>
    <x v="8"/>
    <x v="79"/>
    <s v="060509"/>
  </r>
  <r>
    <x v="8"/>
    <x v="79"/>
    <s v="060901"/>
  </r>
  <r>
    <x v="8"/>
    <x v="79"/>
    <s v="060902"/>
  </r>
  <r>
    <x v="8"/>
    <x v="79"/>
    <s v="060904"/>
  </r>
  <r>
    <x v="8"/>
    <x v="79"/>
    <s v="060905"/>
  </r>
  <r>
    <x v="8"/>
    <x v="79"/>
    <s v="060906"/>
  </r>
  <r>
    <x v="8"/>
    <x v="79"/>
    <s v="060907"/>
  </r>
  <r>
    <x v="8"/>
    <x v="79"/>
    <s v="060911"/>
  </r>
  <r>
    <x v="8"/>
    <x v="80"/>
    <s v="061203"/>
  </r>
  <r>
    <x v="8"/>
    <x v="80"/>
    <s v="061204"/>
  </r>
  <r>
    <x v="8"/>
    <x v="80"/>
    <s v="061205"/>
  </r>
  <r>
    <x v="8"/>
    <x v="80"/>
    <s v="061207"/>
  </r>
  <r>
    <x v="8"/>
    <x v="80"/>
    <s v="061208"/>
  </r>
  <r>
    <x v="8"/>
    <x v="80"/>
    <s v="061209"/>
  </r>
  <r>
    <x v="8"/>
    <x v="80"/>
    <s v="061210"/>
  </r>
  <r>
    <x v="8"/>
    <x v="80"/>
    <s v="061211"/>
  </r>
  <r>
    <x v="8"/>
    <x v="81"/>
    <s v="060301"/>
  </r>
  <r>
    <x v="8"/>
    <x v="81"/>
    <s v="060309"/>
  </r>
  <r>
    <x v="8"/>
    <x v="81"/>
    <s v="060311"/>
  </r>
  <r>
    <x v="8"/>
    <x v="81"/>
    <s v="060403"/>
  </r>
  <r>
    <x v="8"/>
    <x v="81"/>
    <s v="060410"/>
  </r>
  <r>
    <x v="8"/>
    <x v="81"/>
    <s v="060414"/>
  </r>
  <r>
    <x v="8"/>
    <x v="81"/>
    <s v="061501"/>
  </r>
  <r>
    <x v="8"/>
    <x v="81"/>
    <s v="070306"/>
  </r>
  <r>
    <x v="8"/>
    <x v="81"/>
    <s v="070308"/>
  </r>
  <r>
    <x v="8"/>
    <x v="82"/>
    <s v="061001"/>
  </r>
  <r>
    <x v="8"/>
    <x v="82"/>
    <s v="061011"/>
  </r>
  <r>
    <x v="8"/>
    <x v="82"/>
    <s v="061101"/>
  </r>
  <r>
    <x v="8"/>
    <x v="82"/>
    <s v="061102"/>
  </r>
  <r>
    <x v="8"/>
    <x v="82"/>
    <s v="061104"/>
  </r>
  <r>
    <x v="8"/>
    <x v="82"/>
    <s v="061106"/>
  </r>
  <r>
    <x v="8"/>
    <x v="82"/>
    <s v="061110"/>
  </r>
  <r>
    <x v="8"/>
    <x v="82"/>
    <s v="061111"/>
  </r>
  <r>
    <x v="8"/>
    <x v="83"/>
    <s v="060910"/>
  </r>
  <r>
    <x v="8"/>
    <x v="83"/>
    <s v="060912"/>
  </r>
  <r>
    <x v="8"/>
    <x v="83"/>
    <s v="061002"/>
  </r>
  <r>
    <x v="8"/>
    <x v="83"/>
    <s v="061003"/>
  </r>
  <r>
    <x v="8"/>
    <x v="83"/>
    <s v="061004"/>
  </r>
  <r>
    <x v="8"/>
    <x v="83"/>
    <s v="061005"/>
  </r>
  <r>
    <x v="8"/>
    <x v="83"/>
    <s v="061008"/>
  </r>
  <r>
    <x v="8"/>
    <x v="83"/>
    <s v="061012"/>
  </r>
  <r>
    <x v="8"/>
    <x v="83"/>
    <s v="061013"/>
  </r>
  <r>
    <x v="8"/>
    <x v="83"/>
    <s v="061015"/>
  </r>
  <r>
    <x v="8"/>
    <x v="84"/>
    <s v="060101"/>
  </r>
  <r>
    <x v="8"/>
    <x v="84"/>
    <s v="060102"/>
  </r>
  <r>
    <x v="8"/>
    <x v="84"/>
    <s v="060103"/>
  </r>
  <r>
    <x v="8"/>
    <x v="84"/>
    <s v="060104"/>
  </r>
  <r>
    <x v="8"/>
    <x v="84"/>
    <s v="060105"/>
  </r>
  <r>
    <x v="8"/>
    <x v="84"/>
    <s v="060106"/>
  </r>
  <r>
    <x v="8"/>
    <x v="84"/>
    <s v="060107"/>
  </r>
  <r>
    <x v="8"/>
    <x v="84"/>
    <s v="060108"/>
  </r>
  <r>
    <x v="8"/>
    <x v="84"/>
    <s v="060109"/>
  </r>
  <r>
    <x v="8"/>
    <x v="84"/>
    <s v="060110"/>
  </r>
  <r>
    <x v="8"/>
    <x v="85"/>
    <s v="060201"/>
  </r>
  <r>
    <x v="8"/>
    <x v="85"/>
    <s v="060204"/>
  </r>
  <r>
    <x v="8"/>
    <x v="85"/>
    <s v="060205"/>
  </r>
  <r>
    <x v="8"/>
    <x v="85"/>
    <s v="060206"/>
  </r>
  <r>
    <x v="8"/>
    <x v="85"/>
    <s v="060207"/>
  </r>
  <r>
    <x v="8"/>
    <x v="85"/>
    <s v="060208"/>
  </r>
  <r>
    <x v="8"/>
    <x v="85"/>
    <s v="060209"/>
  </r>
  <r>
    <x v="8"/>
    <x v="85"/>
    <s v="060211"/>
  </r>
  <r>
    <x v="8"/>
    <x v="85"/>
    <s v="060604"/>
  </r>
  <r>
    <x v="8"/>
    <x v="85"/>
    <s v="060611"/>
  </r>
  <r>
    <x v="8"/>
    <x v="85"/>
    <s v="060613"/>
  </r>
  <r>
    <x v="8"/>
    <x v="85"/>
    <s v="060616"/>
  </r>
  <r>
    <x v="8"/>
    <x v="86"/>
    <s v="060302"/>
  </r>
  <r>
    <x v="8"/>
    <x v="86"/>
    <s v="060305"/>
  </r>
  <r>
    <x v="8"/>
    <x v="86"/>
    <s v="060306"/>
  </r>
  <r>
    <x v="8"/>
    <x v="86"/>
    <s v="061301"/>
  </r>
  <r>
    <x v="8"/>
    <x v="86"/>
    <s v="061302"/>
  </r>
  <r>
    <x v="8"/>
    <x v="86"/>
    <s v="061303"/>
  </r>
  <r>
    <x v="8"/>
    <x v="86"/>
    <s v="061305"/>
  </r>
  <r>
    <x v="8"/>
    <x v="86"/>
    <s v="061309"/>
  </r>
  <r>
    <x v="8"/>
    <x v="87"/>
    <s v="060303"/>
  </r>
  <r>
    <x v="8"/>
    <x v="87"/>
    <s v="060304"/>
  </r>
  <r>
    <x v="8"/>
    <x v="87"/>
    <s v="060307"/>
  </r>
  <r>
    <x v="8"/>
    <x v="87"/>
    <s v="060308"/>
  </r>
  <r>
    <x v="8"/>
    <x v="87"/>
    <s v="061304"/>
  </r>
  <r>
    <x v="8"/>
    <x v="87"/>
    <s v="061306"/>
  </r>
  <r>
    <x v="8"/>
    <x v="87"/>
    <s v="061307"/>
  </r>
  <r>
    <x v="8"/>
    <x v="87"/>
    <s v="061308"/>
  </r>
  <r>
    <x v="8"/>
    <x v="87"/>
    <s v="061310"/>
  </r>
  <r>
    <x v="9"/>
    <x v="88"/>
    <s v="070209"/>
  </r>
  <r>
    <x v="9"/>
    <x v="88"/>
    <s v="080703"/>
  </r>
  <r>
    <x v="9"/>
    <x v="88"/>
    <s v="080713"/>
  </r>
  <r>
    <x v="9"/>
    <x v="88"/>
    <s v="081203"/>
  </r>
  <r>
    <x v="9"/>
    <x v="88"/>
    <s v="081204"/>
  </r>
  <r>
    <x v="9"/>
    <x v="88"/>
    <s v="081208"/>
  </r>
  <r>
    <x v="9"/>
    <x v="88"/>
    <s v="081209"/>
  </r>
  <r>
    <x v="9"/>
    <x v="88"/>
    <s v="081213"/>
  </r>
  <r>
    <x v="9"/>
    <x v="88"/>
    <s v="081216"/>
  </r>
  <r>
    <x v="9"/>
    <x v="89"/>
    <s v="080801"/>
  </r>
  <r>
    <x v="9"/>
    <x v="89"/>
    <s v="080805"/>
  </r>
  <r>
    <x v="9"/>
    <x v="89"/>
    <s v="080806"/>
  </r>
  <r>
    <x v="9"/>
    <x v="89"/>
    <s v="081602"/>
  </r>
  <r>
    <x v="9"/>
    <x v="89"/>
    <s v="081603"/>
  </r>
  <r>
    <x v="9"/>
    <x v="89"/>
    <s v="081604"/>
  </r>
  <r>
    <x v="9"/>
    <x v="89"/>
    <s v="081609"/>
  </r>
  <r>
    <x v="9"/>
    <x v="90"/>
    <s v="080403"/>
  </r>
  <r>
    <x v="9"/>
    <x v="90"/>
    <s v="080405"/>
  </r>
  <r>
    <x v="9"/>
    <x v="90"/>
    <s v="080406"/>
  </r>
  <r>
    <x v="9"/>
    <x v="90"/>
    <s v="080407"/>
  </r>
  <r>
    <x v="9"/>
    <x v="90"/>
    <s v="080408"/>
  </r>
  <r>
    <x v="9"/>
    <x v="90"/>
    <s v="080410"/>
  </r>
  <r>
    <x v="9"/>
    <x v="90"/>
    <s v="080411"/>
  </r>
  <r>
    <x v="9"/>
    <x v="90"/>
    <s v="080412"/>
  </r>
  <r>
    <x v="9"/>
    <x v="90"/>
    <s v="080413"/>
  </r>
  <r>
    <x v="9"/>
    <x v="90"/>
    <s v="080414"/>
  </r>
  <r>
    <x v="9"/>
    <x v="90"/>
    <s v="080603"/>
  </r>
  <r>
    <x v="9"/>
    <x v="90"/>
    <s v="080606"/>
  </r>
  <r>
    <x v="9"/>
    <x v="91"/>
    <s v="081001"/>
  </r>
  <r>
    <x v="9"/>
    <x v="91"/>
    <s v="081101"/>
  </r>
  <r>
    <x v="9"/>
    <x v="91"/>
    <s v="081104"/>
  </r>
  <r>
    <x v="9"/>
    <x v="91"/>
    <s v="081109"/>
  </r>
  <r>
    <x v="9"/>
    <x v="92"/>
    <s v="080205"/>
  </r>
  <r>
    <x v="9"/>
    <x v="92"/>
    <s v="080213"/>
  </r>
  <r>
    <x v="9"/>
    <x v="92"/>
    <s v="080214"/>
  </r>
  <r>
    <x v="9"/>
    <x v="93"/>
    <s v="080702"/>
  </r>
  <r>
    <x v="9"/>
    <x v="93"/>
    <s v="080708"/>
  </r>
  <r>
    <x v="9"/>
    <x v="93"/>
    <s v="080710"/>
  </r>
  <r>
    <x v="9"/>
    <x v="93"/>
    <s v="080711"/>
  </r>
  <r>
    <x v="9"/>
    <x v="93"/>
    <s v="080804"/>
  </r>
  <r>
    <x v="9"/>
    <x v="93"/>
    <s v="080808"/>
  </r>
  <r>
    <x v="9"/>
    <x v="93"/>
    <s v="080809"/>
  </r>
  <r>
    <x v="9"/>
    <x v="93"/>
    <s v="081606"/>
  </r>
  <r>
    <x v="9"/>
    <x v="93"/>
    <s v="081607"/>
  </r>
  <r>
    <x v="9"/>
    <x v="94"/>
    <s v="080704"/>
  </r>
  <r>
    <x v="9"/>
    <x v="94"/>
    <s v="080705"/>
  </r>
  <r>
    <x v="9"/>
    <x v="94"/>
    <s v="080709"/>
  </r>
  <r>
    <x v="9"/>
    <x v="94"/>
    <s v="080712"/>
  </r>
  <r>
    <x v="9"/>
    <x v="94"/>
    <s v="080714"/>
  </r>
  <r>
    <x v="9"/>
    <x v="94"/>
    <s v="080717"/>
  </r>
  <r>
    <x v="9"/>
    <x v="94"/>
    <s v="081008"/>
  </r>
  <r>
    <x v="9"/>
    <x v="94"/>
    <s v="081207"/>
  </r>
  <r>
    <x v="9"/>
    <x v="94"/>
    <s v="081208"/>
  </r>
  <r>
    <x v="9"/>
    <x v="94"/>
    <s v="081215"/>
  </r>
  <r>
    <x v="9"/>
    <x v="94"/>
    <s v="081610"/>
  </r>
  <r>
    <x v="9"/>
    <x v="95"/>
    <s v="080313"/>
  </r>
  <r>
    <x v="9"/>
    <x v="95"/>
    <s v="080314"/>
  </r>
  <r>
    <x v="9"/>
    <x v="95"/>
    <s v="080319"/>
  </r>
  <r>
    <x v="9"/>
    <x v="95"/>
    <s v="080501"/>
  </r>
  <r>
    <x v="9"/>
    <x v="95"/>
    <s v="080502"/>
  </r>
  <r>
    <x v="9"/>
    <x v="95"/>
    <s v="080507"/>
  </r>
  <r>
    <x v="9"/>
    <x v="95"/>
    <s v="080508"/>
  </r>
  <r>
    <x v="9"/>
    <x v="95"/>
    <s v="080509"/>
  </r>
  <r>
    <x v="9"/>
    <x v="95"/>
    <s v="080510"/>
  </r>
  <r>
    <x v="9"/>
    <x v="95"/>
    <s v="080511"/>
  </r>
  <r>
    <x v="9"/>
    <x v="95"/>
    <s v="080515"/>
  </r>
  <r>
    <x v="9"/>
    <x v="95"/>
    <s v="080520"/>
  </r>
  <r>
    <x v="9"/>
    <x v="95"/>
    <s v="080608"/>
  </r>
  <r>
    <x v="9"/>
    <x v="95"/>
    <s v="080610"/>
  </r>
  <r>
    <x v="9"/>
    <x v="96"/>
    <s v="080201"/>
  </r>
  <r>
    <x v="9"/>
    <x v="96"/>
    <s v="080206"/>
  </r>
  <r>
    <x v="9"/>
    <x v="96"/>
    <s v="080210"/>
  </r>
  <r>
    <x v="9"/>
    <x v="96"/>
    <s v="080212"/>
  </r>
  <r>
    <x v="9"/>
    <x v="96"/>
    <s v="080309"/>
  </r>
  <r>
    <x v="9"/>
    <x v="96"/>
    <s v="080310"/>
  </r>
  <r>
    <x v="9"/>
    <x v="96"/>
    <s v="080311"/>
  </r>
  <r>
    <x v="9"/>
    <x v="96"/>
    <s v="080315"/>
  </r>
  <r>
    <x v="9"/>
    <x v="96"/>
    <s v="080316"/>
  </r>
  <r>
    <x v="9"/>
    <x v="96"/>
    <s v="080317"/>
  </r>
  <r>
    <x v="9"/>
    <x v="96"/>
    <s v="080318"/>
  </r>
  <r>
    <x v="9"/>
    <x v="96"/>
    <s v="080504"/>
  </r>
  <r>
    <x v="9"/>
    <x v="96"/>
    <s v="080506"/>
  </r>
  <r>
    <x v="9"/>
    <x v="96"/>
    <s v="080512"/>
  </r>
  <r>
    <x v="9"/>
    <x v="96"/>
    <s v="080607"/>
  </r>
  <r>
    <x v="9"/>
    <x v="97"/>
    <s v="080902"/>
  </r>
  <r>
    <x v="9"/>
    <x v="97"/>
    <s v="080905"/>
  </r>
  <r>
    <x v="9"/>
    <x v="97"/>
    <s v="080907"/>
  </r>
  <r>
    <x v="9"/>
    <x v="97"/>
    <s v="080908"/>
  </r>
  <r>
    <x v="9"/>
    <x v="97"/>
    <s v="080909"/>
  </r>
  <r>
    <x v="9"/>
    <x v="97"/>
    <s v="080910"/>
  </r>
  <r>
    <x v="9"/>
    <x v="97"/>
    <s v="080911"/>
  </r>
  <r>
    <x v="9"/>
    <x v="97"/>
    <s v="080912"/>
  </r>
  <r>
    <x v="9"/>
    <x v="97"/>
    <s v="080913"/>
  </r>
  <r>
    <x v="9"/>
    <x v="97"/>
    <s v="081004"/>
  </r>
  <r>
    <x v="9"/>
    <x v="97"/>
    <s v="081005"/>
  </r>
  <r>
    <x v="9"/>
    <x v="97"/>
    <s v="081006"/>
  </r>
  <r>
    <x v="9"/>
    <x v="98"/>
    <s v="080101"/>
  </r>
  <r>
    <x v="9"/>
    <x v="98"/>
    <s v="080106"/>
  </r>
  <r>
    <x v="9"/>
    <x v="98"/>
    <s v="080107"/>
  </r>
  <r>
    <x v="9"/>
    <x v="98"/>
    <s v="080109"/>
  </r>
  <r>
    <x v="9"/>
    <x v="98"/>
    <s v="080111"/>
  </r>
  <r>
    <x v="9"/>
    <x v="98"/>
    <s v="080112"/>
  </r>
  <r>
    <x v="9"/>
    <x v="98"/>
    <s v="080113"/>
  </r>
  <r>
    <x v="9"/>
    <x v="98"/>
    <s v="080114"/>
  </r>
  <r>
    <x v="9"/>
    <x v="98"/>
    <s v="080115"/>
  </r>
  <r>
    <x v="9"/>
    <x v="99"/>
    <s v="081403"/>
  </r>
  <r>
    <x v="9"/>
    <x v="99"/>
    <s v="081404"/>
  </r>
  <r>
    <x v="9"/>
    <x v="99"/>
    <s v="081405"/>
  </r>
  <r>
    <x v="9"/>
    <x v="99"/>
    <s v="081407"/>
  </r>
  <r>
    <x v="9"/>
    <x v="99"/>
    <s v="081408"/>
  </r>
  <r>
    <x v="9"/>
    <x v="99"/>
    <s v="081410"/>
  </r>
  <r>
    <x v="9"/>
    <x v="99"/>
    <s v="081411"/>
  </r>
  <r>
    <x v="9"/>
    <x v="99"/>
    <s v="081413"/>
  </r>
  <r>
    <x v="9"/>
    <x v="99"/>
    <s v="081414"/>
  </r>
  <r>
    <x v="9"/>
    <x v="99"/>
    <s v="081415"/>
  </r>
  <r>
    <x v="9"/>
    <x v="99"/>
    <s v="081416"/>
  </r>
  <r>
    <x v="9"/>
    <x v="99"/>
    <s v="081417"/>
  </r>
  <r>
    <x v="9"/>
    <x v="99"/>
    <s v="081418"/>
  </r>
  <r>
    <x v="9"/>
    <x v="100"/>
    <s v="080201"/>
  </r>
  <r>
    <x v="9"/>
    <x v="100"/>
    <s v="081501"/>
  </r>
  <r>
    <x v="9"/>
    <x v="100"/>
    <s v="081502"/>
  </r>
  <r>
    <x v="9"/>
    <x v="100"/>
    <s v="081503"/>
  </r>
  <r>
    <x v="9"/>
    <x v="100"/>
    <s v="081504"/>
  </r>
  <r>
    <x v="9"/>
    <x v="100"/>
    <s v="081506"/>
  </r>
  <r>
    <x v="9"/>
    <x v="100"/>
    <s v="081507"/>
  </r>
  <r>
    <x v="9"/>
    <x v="100"/>
    <s v="081508"/>
  </r>
  <r>
    <x v="9"/>
    <x v="100"/>
    <s v="081511"/>
  </r>
  <r>
    <x v="9"/>
    <x v="100"/>
    <s v="081512"/>
  </r>
  <r>
    <x v="9"/>
    <x v="100"/>
    <s v="081513"/>
  </r>
  <r>
    <x v="9"/>
    <x v="100"/>
    <s v="081514"/>
  </r>
  <r>
    <x v="9"/>
    <x v="100"/>
    <s v="081515"/>
  </r>
  <r>
    <x v="9"/>
    <x v="100"/>
    <s v="081516"/>
  </r>
  <r>
    <x v="9"/>
    <x v="101"/>
    <s v="081701"/>
  </r>
  <r>
    <x v="9"/>
    <x v="101"/>
    <s v="081702"/>
  </r>
  <r>
    <x v="9"/>
    <x v="101"/>
    <s v="081703"/>
  </r>
  <r>
    <x v="9"/>
    <x v="101"/>
    <s v="081704"/>
  </r>
  <r>
    <x v="9"/>
    <x v="101"/>
    <s v="081705"/>
  </r>
  <r>
    <x v="9"/>
    <x v="101"/>
    <s v="081706"/>
  </r>
  <r>
    <x v="9"/>
    <x v="101"/>
    <s v="081707"/>
  </r>
  <r>
    <x v="9"/>
    <x v="101"/>
    <s v="081708"/>
  </r>
  <r>
    <x v="9"/>
    <x v="101"/>
    <s v="081710"/>
  </r>
  <r>
    <x v="9"/>
    <x v="101"/>
    <s v="081711"/>
  </r>
  <r>
    <x v="10"/>
    <x v="10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8">
  <r>
    <x v="0"/>
    <x v="0"/>
    <s v="7011"/>
    <s v="Bethlehem Sogn"/>
    <x v="0"/>
    <x v="0"/>
  </r>
  <r>
    <x v="0"/>
    <x v="0"/>
    <s v="7050"/>
    <s v="Anna Sogn"/>
    <x v="1"/>
    <x v="0"/>
  </r>
  <r>
    <x v="0"/>
    <x v="0"/>
    <s v="7051"/>
    <s v="Sankt Stefans Sogn"/>
    <x v="2"/>
    <x v="0"/>
  </r>
  <r>
    <x v="0"/>
    <x v="0"/>
    <s v="7053"/>
    <s v="Kingo-Samuel Sogn"/>
    <x v="3"/>
    <x v="0"/>
  </r>
  <r>
    <x v="0"/>
    <x v="0"/>
    <s v="9161"/>
    <s v="Blågårdens Sogn"/>
    <x v="4"/>
    <x v="1"/>
  </r>
  <r>
    <x v="0"/>
    <x v="0"/>
    <s v="9161"/>
    <s v="Blågårdens Sogn"/>
    <x v="5"/>
    <x v="1"/>
  </r>
  <r>
    <x v="0"/>
    <x v="0"/>
    <s v="9169"/>
    <s v="Simeon-Sankt Johannes Sogn"/>
    <x v="6"/>
    <x v="0"/>
  </r>
  <r>
    <x v="0"/>
    <x v="0"/>
    <s v="9169"/>
    <s v="Simeon-Sankt Johannes Sogn"/>
    <x v="7"/>
    <x v="1"/>
  </r>
  <r>
    <x v="0"/>
    <x v="0"/>
    <s v="9169"/>
    <s v="Simeon-Sankt Johannes Sogn"/>
    <x v="8"/>
    <x v="0"/>
  </r>
  <r>
    <x v="0"/>
    <x v="0"/>
    <s v="9169"/>
    <s v="Simeon-Sankt Johannes Sogn"/>
    <x v="9"/>
    <x v="0"/>
  </r>
  <r>
    <x v="0"/>
    <x v="0"/>
    <s v="9169"/>
    <s v="Simeon-Sankt Johannes Sogn"/>
    <x v="10"/>
    <x v="0"/>
  </r>
  <r>
    <x v="0"/>
    <x v="0"/>
    <s v="9169"/>
    <s v="Simeon-Sankt Johannes Sogn"/>
    <x v="11"/>
    <x v="0"/>
  </r>
  <r>
    <x v="0"/>
    <x v="1"/>
    <s v="7102"/>
    <s v="Sankt Lukas Sogn"/>
    <x v="12"/>
    <x v="0"/>
  </r>
  <r>
    <x v="0"/>
    <x v="1"/>
    <s v="7103"/>
    <s v="Solbjerg Sogn"/>
    <x v="13"/>
    <x v="2"/>
  </r>
  <r>
    <x v="0"/>
    <x v="1"/>
    <s v="7103"/>
    <s v="Solbjerg Sogn"/>
    <x v="14"/>
    <x v="0"/>
  </r>
  <r>
    <x v="0"/>
    <x v="1"/>
    <s v="7104"/>
    <s v="Lindevang Sogn"/>
    <x v="15"/>
    <x v="0"/>
  </r>
  <r>
    <x v="0"/>
    <x v="1"/>
    <s v="7105"/>
    <s v="Flintholm Sogn"/>
    <x v="16"/>
    <x v="0"/>
  </r>
  <r>
    <x v="0"/>
    <x v="1"/>
    <s v="7105"/>
    <s v="Flintholm Sogn"/>
    <x v="17"/>
    <x v="0"/>
  </r>
  <r>
    <x v="0"/>
    <x v="1"/>
    <s v="7106"/>
    <s v="Sankt Thomas Sogn"/>
    <x v="18"/>
    <x v="2"/>
  </r>
  <r>
    <x v="0"/>
    <x v="1"/>
    <s v="7106"/>
    <s v="Sankt Thomas Sogn"/>
    <x v="19"/>
    <x v="0"/>
  </r>
  <r>
    <x v="0"/>
    <x v="1"/>
    <s v="7107"/>
    <s v="Mariendals Sogn"/>
    <x v="20"/>
    <x v="0"/>
  </r>
  <r>
    <x v="0"/>
    <x v="1"/>
    <s v="7108"/>
    <s v="Godthaabs Sogn"/>
    <x v="21"/>
    <x v="1"/>
  </r>
  <r>
    <x v="0"/>
    <x v="1"/>
    <s v="7108"/>
    <s v="Godthaabs Sogn"/>
    <x v="22"/>
    <x v="0"/>
  </r>
  <r>
    <x v="0"/>
    <x v="1"/>
    <s v="7108"/>
    <s v="Godthaabs Sogn"/>
    <x v="23"/>
    <x v="0"/>
  </r>
  <r>
    <x v="0"/>
    <x v="1"/>
    <s v="7109"/>
    <s v="Sankt Markus Sogn"/>
    <x v="24"/>
    <x v="0"/>
  </r>
  <r>
    <x v="0"/>
    <x v="1"/>
    <s v="7109"/>
    <s v="Sankt Markus Sogn"/>
    <x v="25"/>
    <x v="2"/>
  </r>
  <r>
    <x v="0"/>
    <x v="1"/>
    <s v="9181"/>
    <s v="Frederiksberg Sogn"/>
    <x v="26"/>
    <x v="0"/>
  </r>
  <r>
    <x v="0"/>
    <x v="1"/>
    <s v="9181"/>
    <s v="Frederiksberg Sogn"/>
    <x v="27"/>
    <x v="0"/>
  </r>
  <r>
    <x v="0"/>
    <x v="1"/>
    <s v="9181"/>
    <s v="Frederiksberg Sogn"/>
    <x v="28"/>
    <x v="0"/>
  </r>
  <r>
    <x v="0"/>
    <x v="1"/>
    <s v="9181"/>
    <s v="Frederiksberg Sogn"/>
    <x v="29"/>
    <x v="0"/>
  </r>
  <r>
    <x v="0"/>
    <x v="2"/>
    <s v="7552"/>
    <s v="Rønne Sogn"/>
    <x v="30"/>
    <x v="0"/>
  </r>
  <r>
    <x v="0"/>
    <x v="2"/>
    <s v="7552"/>
    <s v="Rønne Sogn"/>
    <x v="31"/>
    <x v="0"/>
  </r>
  <r>
    <x v="0"/>
    <x v="2"/>
    <s v="7552"/>
    <s v="Rønne Sogn"/>
    <x v="32"/>
    <x v="0"/>
  </r>
  <r>
    <x v="0"/>
    <x v="2"/>
    <s v="7553"/>
    <s v="Knudsker Sogn"/>
    <x v="33"/>
    <x v="0"/>
  </r>
  <r>
    <x v="0"/>
    <x v="2"/>
    <s v="7554"/>
    <s v="Vestermarie Sogn"/>
    <x v="34"/>
    <x v="0"/>
  </r>
  <r>
    <x v="0"/>
    <x v="2"/>
    <s v="7555"/>
    <s v="Nylarsker Sogn"/>
    <x v="35"/>
    <x v="0"/>
  </r>
  <r>
    <x v="0"/>
    <x v="2"/>
    <s v="7556"/>
    <s v="Nyker Sogn"/>
    <x v="36"/>
    <x v="0"/>
  </r>
  <r>
    <x v="0"/>
    <x v="2"/>
    <s v="7557"/>
    <s v="Hasle Sogn"/>
    <x v="37"/>
    <x v="0"/>
  </r>
  <r>
    <x v="0"/>
    <x v="2"/>
    <s v="7557"/>
    <s v="Hasle Sogn"/>
    <x v="38"/>
    <x v="2"/>
  </r>
  <r>
    <x v="0"/>
    <x v="2"/>
    <s v="7557"/>
    <s v="Hasle Sogn"/>
    <x v="39"/>
    <x v="0"/>
  </r>
  <r>
    <x v="0"/>
    <x v="2"/>
    <s v="7558"/>
    <s v="Rutsker Sogn"/>
    <x v="40"/>
    <x v="0"/>
  </r>
  <r>
    <x v="0"/>
    <x v="2"/>
    <s v="7559"/>
    <s v="Olsker Sogn"/>
    <x v="41"/>
    <x v="0"/>
  </r>
  <r>
    <x v="0"/>
    <x v="2"/>
    <s v="7559"/>
    <s v="Olsker Sogn"/>
    <x v="42"/>
    <x v="1"/>
  </r>
  <r>
    <x v="0"/>
    <x v="2"/>
    <s v="7560"/>
    <s v="Allinge-Sandvig Sogn"/>
    <x v="43"/>
    <x v="1"/>
  </r>
  <r>
    <x v="0"/>
    <x v="2"/>
    <s v="7560"/>
    <s v="Allinge-Sandvig Sogn"/>
    <x v="44"/>
    <x v="0"/>
  </r>
  <r>
    <x v="0"/>
    <x v="2"/>
    <s v="7561"/>
    <s v="Klemensker Sogn"/>
    <x v="45"/>
    <x v="0"/>
  </r>
  <r>
    <x v="0"/>
    <x v="2"/>
    <s v="7562"/>
    <s v="Rø Sogn"/>
    <x v="46"/>
    <x v="0"/>
  </r>
  <r>
    <x v="0"/>
    <x v="2"/>
    <s v="7563"/>
    <s v="Ibsker Sogn"/>
    <x v="47"/>
    <x v="0"/>
  </r>
  <r>
    <x v="0"/>
    <x v="2"/>
    <s v="7564"/>
    <s v="Svaneke Sogn"/>
    <x v="48"/>
    <x v="0"/>
  </r>
  <r>
    <x v="0"/>
    <x v="2"/>
    <s v="7565"/>
    <s v="Østerlarsker Sogn"/>
    <x v="49"/>
    <x v="0"/>
  </r>
  <r>
    <x v="0"/>
    <x v="2"/>
    <s v="7566"/>
    <s v="Gudhjem Sogn"/>
    <x v="50"/>
    <x v="0"/>
  </r>
  <r>
    <x v="0"/>
    <x v="2"/>
    <s v="7567"/>
    <s v="Østermarie Sogn"/>
    <x v="51"/>
    <x v="0"/>
  </r>
  <r>
    <x v="0"/>
    <x v="2"/>
    <s v="7568"/>
    <s v="Christiansø Sogn"/>
    <x v="52"/>
    <x v="0"/>
  </r>
  <r>
    <x v="0"/>
    <x v="2"/>
    <s v="7569"/>
    <s v="Aaker Sogn"/>
    <x v="53"/>
    <x v="0"/>
  </r>
  <r>
    <x v="0"/>
    <x v="2"/>
    <s v="7570"/>
    <s v="Bodilsker Sogn"/>
    <x v="54"/>
    <x v="0"/>
  </r>
  <r>
    <x v="0"/>
    <x v="2"/>
    <s v="7571"/>
    <s v="Nexø Sogn"/>
    <x v="55"/>
    <x v="0"/>
  </r>
  <r>
    <x v="0"/>
    <x v="2"/>
    <s v="7571"/>
    <s v="Nexø Sogn"/>
    <x v="56"/>
    <x v="0"/>
  </r>
  <r>
    <x v="0"/>
    <x v="2"/>
    <s v="7572"/>
    <s v="Poulsker Sogn"/>
    <x v="57"/>
    <x v="0"/>
  </r>
  <r>
    <x v="0"/>
    <x v="2"/>
    <s v="7573"/>
    <s v="Pedersker Sogn"/>
    <x v="58"/>
    <x v="0"/>
  </r>
  <r>
    <x v="0"/>
    <x v="3"/>
    <s v="7061"/>
    <s v="Ansgarkirkens Sogn"/>
    <x v="59"/>
    <x v="0"/>
  </r>
  <r>
    <x v="0"/>
    <x v="3"/>
    <s v="7062"/>
    <s v="Kapernaums Sogn"/>
    <x v="60"/>
    <x v="0"/>
  </r>
  <r>
    <x v="0"/>
    <x v="3"/>
    <s v="7063"/>
    <s v="Tagensbo Sogn"/>
    <x v="61"/>
    <x v="0"/>
  </r>
  <r>
    <x v="0"/>
    <x v="3"/>
    <s v="7064"/>
    <s v="Bispebjerg Sogn"/>
    <x v="62"/>
    <x v="0"/>
  </r>
  <r>
    <x v="0"/>
    <x v="3"/>
    <s v="7064"/>
    <s v="Bispebjerg Sogn"/>
    <x v="63"/>
    <x v="0"/>
  </r>
  <r>
    <x v="0"/>
    <x v="3"/>
    <s v="7064"/>
    <s v="Bispebjerg Sogn"/>
    <x v="64"/>
    <x v="0"/>
  </r>
  <r>
    <x v="0"/>
    <x v="3"/>
    <s v="7064"/>
    <s v="Bispebjerg Sogn"/>
    <x v="65"/>
    <x v="0"/>
  </r>
  <r>
    <x v="0"/>
    <x v="3"/>
    <s v="7065"/>
    <s v="Emdrup Sogn"/>
    <x v="66"/>
    <x v="0"/>
  </r>
  <r>
    <x v="0"/>
    <x v="3"/>
    <s v="7067"/>
    <s v="Husum Sogn"/>
    <x v="67"/>
    <x v="0"/>
  </r>
  <r>
    <x v="0"/>
    <x v="3"/>
    <s v="7068"/>
    <s v="Brønshøj Sogn"/>
    <x v="68"/>
    <x v="0"/>
  </r>
  <r>
    <x v="0"/>
    <x v="3"/>
    <s v="7070"/>
    <s v="Husumvold Sogn"/>
    <x v="69"/>
    <x v="0"/>
  </r>
  <r>
    <x v="0"/>
    <x v="3"/>
    <s v="9133"/>
    <s v="Tingbjerg Sogn"/>
    <x v="70"/>
    <x v="0"/>
  </r>
  <r>
    <x v="0"/>
    <x v="3"/>
    <s v="9182"/>
    <s v="Bellahøj-Utterslev Sogn"/>
    <x v="71"/>
    <x v="0"/>
  </r>
  <r>
    <x v="0"/>
    <x v="3"/>
    <s v="9182"/>
    <s v="Bellahøj-Utterslev Sogn"/>
    <x v="72"/>
    <x v="0"/>
  </r>
  <r>
    <x v="0"/>
    <x v="4"/>
    <s v="7024"/>
    <s v="Valby Sogn"/>
    <x v="73"/>
    <x v="0"/>
  </r>
  <r>
    <x v="0"/>
    <x v="4"/>
    <s v="7026"/>
    <s v="Timotheus Sogn"/>
    <x v="74"/>
    <x v="0"/>
  </r>
  <r>
    <x v="0"/>
    <x v="4"/>
    <s v="7027"/>
    <s v="Vigerslev Sogn"/>
    <x v="75"/>
    <x v="0"/>
  </r>
  <r>
    <x v="0"/>
    <x v="4"/>
    <s v="7028"/>
    <s v="Aalholm Sogn"/>
    <x v="76"/>
    <x v="0"/>
  </r>
  <r>
    <x v="0"/>
    <x v="4"/>
    <s v="7057"/>
    <s v="Hyltebjerg Sogn"/>
    <x v="77"/>
    <x v="0"/>
  </r>
  <r>
    <x v="0"/>
    <x v="4"/>
    <s v="7057"/>
    <s v="Hyltebjerg Sogn"/>
    <x v="78"/>
    <x v="0"/>
  </r>
  <r>
    <x v="0"/>
    <x v="4"/>
    <s v="7057"/>
    <s v="Hyltebjerg Sogn"/>
    <x v="79"/>
    <x v="0"/>
  </r>
  <r>
    <x v="0"/>
    <x v="4"/>
    <s v="7058"/>
    <s v="Vanløse Sogn"/>
    <x v="80"/>
    <x v="0"/>
  </r>
  <r>
    <x v="0"/>
    <x v="4"/>
    <s v="7059"/>
    <s v="Advents Sogn"/>
    <x v="81"/>
    <x v="0"/>
  </r>
  <r>
    <x v="0"/>
    <x v="4"/>
    <s v="7060"/>
    <s v="Grøndals Sogn"/>
    <x v="82"/>
    <x v="0"/>
  </r>
  <r>
    <x v="0"/>
    <x v="4"/>
    <s v="9190"/>
    <s v="Valby Søndre Sogn"/>
    <x v="83"/>
    <x v="0"/>
  </r>
  <r>
    <x v="0"/>
    <x v="4"/>
    <s v="9190"/>
    <s v="Valby Søndre Sogn"/>
    <x v="84"/>
    <x v="0"/>
  </r>
  <r>
    <x v="0"/>
    <x v="5"/>
    <s v="7081"/>
    <s v="Christians Sogn"/>
    <x v="85"/>
    <x v="0"/>
  </r>
  <r>
    <x v="0"/>
    <x v="5"/>
    <s v="7082"/>
    <s v="Vor Frelsers Sogn"/>
    <x v="86"/>
    <x v="0"/>
  </r>
  <r>
    <x v="0"/>
    <x v="5"/>
    <s v="7083"/>
    <s v="Nathanaels Sogn"/>
    <x v="87"/>
    <x v="0"/>
  </r>
  <r>
    <x v="0"/>
    <x v="5"/>
    <s v="7084"/>
    <s v="Sundby Sogn"/>
    <x v="88"/>
    <x v="0"/>
  </r>
  <r>
    <x v="0"/>
    <x v="5"/>
    <s v="7085"/>
    <s v="Allehelgens Sogn"/>
    <x v="89"/>
    <x v="0"/>
  </r>
  <r>
    <x v="0"/>
    <x v="5"/>
    <s v="7086"/>
    <s v="Filips Sogn"/>
    <x v="90"/>
    <x v="0"/>
  </r>
  <r>
    <x v="0"/>
    <x v="5"/>
    <s v="7086"/>
    <s v="Filips Sogn"/>
    <x v="91"/>
    <x v="0"/>
  </r>
  <r>
    <x v="0"/>
    <x v="5"/>
    <s v="7086"/>
    <s v="Filips Sogn"/>
    <x v="92"/>
    <x v="0"/>
  </r>
  <r>
    <x v="0"/>
    <x v="5"/>
    <s v="7087"/>
    <s v="Sundkirkens Sogn"/>
    <x v="93"/>
    <x v="0"/>
  </r>
  <r>
    <x v="0"/>
    <x v="5"/>
    <s v="7088"/>
    <s v="Højdevangs Sogn"/>
    <x v="94"/>
    <x v="0"/>
  </r>
  <r>
    <x v="0"/>
    <x v="5"/>
    <s v="7089"/>
    <s v="Simon Peters Sogn"/>
    <x v="95"/>
    <x v="0"/>
  </r>
  <r>
    <x v="0"/>
    <x v="5"/>
    <s v="7090"/>
    <s v="Solvang Sogn"/>
    <x v="96"/>
    <x v="0"/>
  </r>
  <r>
    <x v="0"/>
    <x v="5"/>
    <s v="7090"/>
    <s v="Solvang Sogn"/>
    <x v="97"/>
    <x v="0"/>
  </r>
  <r>
    <x v="0"/>
    <x v="5"/>
    <s v="7090"/>
    <s v="Solvang Sogn"/>
    <x v="98"/>
    <x v="0"/>
  </r>
  <r>
    <x v="0"/>
    <x v="5"/>
    <s v="9345"/>
    <s v="Islands Brygges Sogn"/>
    <x v="99"/>
    <x v="0"/>
  </r>
  <r>
    <x v="0"/>
    <x v="5"/>
    <s v="9352"/>
    <s v="Ørestad Sogn"/>
    <x v="100"/>
    <x v="0"/>
  </r>
  <r>
    <x v="0"/>
    <x v="6"/>
    <s v="7190"/>
    <s v="Tårnby Sogn"/>
    <x v="101"/>
    <x v="0"/>
  </r>
  <r>
    <x v="0"/>
    <x v="6"/>
    <s v="7191"/>
    <s v="Kastrup Sogn"/>
    <x v="102"/>
    <x v="0"/>
  </r>
  <r>
    <x v="0"/>
    <x v="6"/>
    <s v="7191"/>
    <s v="Kastrup Sogn"/>
    <x v="103"/>
    <x v="0"/>
  </r>
  <r>
    <x v="0"/>
    <x v="6"/>
    <s v="7192"/>
    <s v="Store Magleby Sogn"/>
    <x v="104"/>
    <x v="0"/>
  </r>
  <r>
    <x v="0"/>
    <x v="6"/>
    <s v="7192"/>
    <s v="Store Magleby Sogn"/>
    <x v="105"/>
    <x v="0"/>
  </r>
  <r>
    <x v="0"/>
    <x v="6"/>
    <s v="7193"/>
    <s v="Dragør Sogn"/>
    <x v="106"/>
    <x v="0"/>
  </r>
  <r>
    <x v="0"/>
    <x v="6"/>
    <s v="7193"/>
    <s v="Dragør Sogn"/>
    <x v="107"/>
    <x v="0"/>
  </r>
  <r>
    <x v="0"/>
    <x v="6"/>
    <s v="9081"/>
    <s v="Korsvejens Sogn"/>
    <x v="108"/>
    <x v="0"/>
  </r>
  <r>
    <x v="0"/>
    <x v="6"/>
    <s v="9140"/>
    <s v="Skelgårds Sogn"/>
    <x v="109"/>
    <x v="0"/>
  </r>
  <r>
    <x v="0"/>
    <x v="7"/>
    <s v="7002"/>
    <s v="Helligånds Sogn"/>
    <x v="110"/>
    <x v="0"/>
  </r>
  <r>
    <x v="0"/>
    <x v="7"/>
    <s v="7002"/>
    <s v="Helligånds Sogn"/>
    <x v="111"/>
    <x v="0"/>
  </r>
  <r>
    <x v="0"/>
    <x v="7"/>
    <s v="7003"/>
    <s v="Trinitatis Sogn"/>
    <x v="112"/>
    <x v="0"/>
  </r>
  <r>
    <x v="0"/>
    <x v="7"/>
    <s v="9164"/>
    <s v="Fredens-Nazaret Sogn"/>
    <x v="113"/>
    <x v="0"/>
  </r>
  <r>
    <x v="0"/>
    <x v="7"/>
    <s v="9164"/>
    <s v="Fredens-Nazaret Sogn"/>
    <x v="114"/>
    <x v="0"/>
  </r>
  <r>
    <x v="0"/>
    <x v="7"/>
    <s v="9165"/>
    <s v="Sydhavn Sogn"/>
    <x v="115"/>
    <x v="0"/>
  </r>
  <r>
    <x v="0"/>
    <x v="7"/>
    <s v="9165"/>
    <s v="Sydhavn Sogn"/>
    <x v="116"/>
    <x v="0"/>
  </r>
  <r>
    <x v="0"/>
    <x v="7"/>
    <s v="9174"/>
    <s v="Vor Frue Sogn"/>
    <x v="117"/>
    <x v="0"/>
  </r>
  <r>
    <x v="0"/>
    <x v="7"/>
    <s v="9174"/>
    <s v="Vor Frue Sogn"/>
    <x v="118"/>
    <x v="2"/>
  </r>
  <r>
    <x v="0"/>
    <x v="7"/>
    <s v="9174"/>
    <s v="Vor Frue Sogn"/>
    <x v="119"/>
    <x v="0"/>
  </r>
  <r>
    <x v="0"/>
    <x v="7"/>
    <s v="9185"/>
    <s v="Vesterbro Sogn"/>
    <x v="120"/>
    <x v="0"/>
  </r>
  <r>
    <x v="0"/>
    <x v="7"/>
    <s v="9185"/>
    <s v="Vesterbro Sogn"/>
    <x v="121"/>
    <x v="0"/>
  </r>
  <r>
    <x v="0"/>
    <x v="7"/>
    <s v="9185"/>
    <s v="Vesterbro Sogn"/>
    <x v="122"/>
    <x v="0"/>
  </r>
  <r>
    <x v="0"/>
    <x v="7"/>
    <s v="9185"/>
    <s v="Vesterbro Sogn"/>
    <x v="123"/>
    <x v="0"/>
  </r>
  <r>
    <x v="0"/>
    <x v="7"/>
    <s v="9185"/>
    <s v="Vesterbro Sogn"/>
    <x v="124"/>
    <x v="0"/>
  </r>
  <r>
    <x v="0"/>
    <x v="7"/>
    <s v="9185"/>
    <s v="Vesterbro Sogn"/>
    <x v="125"/>
    <x v="0"/>
  </r>
  <r>
    <x v="0"/>
    <x v="7"/>
    <s v="9185"/>
    <s v="Vesterbro Sogn"/>
    <x v="126"/>
    <x v="0"/>
  </r>
  <r>
    <x v="0"/>
    <x v="7"/>
    <s v="9185"/>
    <s v="Vesterbro Sogn"/>
    <x v="127"/>
    <x v="0"/>
  </r>
  <r>
    <x v="0"/>
    <x v="7"/>
    <s v="9185"/>
    <s v="Vesterbro Sogn"/>
    <x v="128"/>
    <x v="0"/>
  </r>
  <r>
    <x v="0"/>
    <x v="7"/>
    <s v="9346"/>
    <s v="Sankt Petri Tyske Menighed"/>
    <x v="129"/>
    <x v="0"/>
  </r>
  <r>
    <x v="0"/>
    <x v="8"/>
    <s v="7036"/>
    <s v="Holmens Sogn"/>
    <x v="130"/>
    <x v="0"/>
  </r>
  <r>
    <x v="0"/>
    <x v="8"/>
    <s v="7036"/>
    <s v="Holmens Sogn"/>
    <x v="131"/>
    <x v="1"/>
  </r>
  <r>
    <x v="0"/>
    <x v="8"/>
    <s v="7036"/>
    <s v="Holmens Sogn"/>
    <x v="132"/>
    <x v="0"/>
  </r>
  <r>
    <x v="0"/>
    <x v="8"/>
    <s v="7036"/>
    <s v="Holmens Sogn"/>
    <x v="133"/>
    <x v="0"/>
  </r>
  <r>
    <x v="0"/>
    <x v="8"/>
    <s v="7037"/>
    <s v="Garnisons Sogn"/>
    <x v="134"/>
    <x v="0"/>
  </r>
  <r>
    <x v="0"/>
    <x v="8"/>
    <s v="7038"/>
    <s v="Frederiks Sogn"/>
    <x v="135"/>
    <x v="0"/>
  </r>
  <r>
    <x v="0"/>
    <x v="8"/>
    <s v="7039"/>
    <s v="Sankt Pauls Sogn"/>
    <x v="136"/>
    <x v="0"/>
  </r>
  <r>
    <x v="0"/>
    <x v="8"/>
    <s v="7040"/>
    <s v="Østervold Sogn"/>
    <x v="137"/>
    <x v="0"/>
  </r>
  <r>
    <x v="0"/>
    <x v="8"/>
    <s v="7041"/>
    <s v="Kastels Sogn"/>
    <x v="138"/>
    <x v="0"/>
  </r>
  <r>
    <x v="0"/>
    <x v="8"/>
    <s v="7041"/>
    <s v="Kastels Sogn"/>
    <x v="139"/>
    <x v="0"/>
  </r>
  <r>
    <x v="0"/>
    <x v="8"/>
    <s v="7043"/>
    <s v="Rosenvængets Sogn"/>
    <x v="140"/>
    <x v="0"/>
  </r>
  <r>
    <x v="0"/>
    <x v="8"/>
    <s v="7043"/>
    <s v="Rosenvængets Sogn"/>
    <x v="141"/>
    <x v="0"/>
  </r>
  <r>
    <x v="0"/>
    <x v="8"/>
    <s v="7044"/>
    <s v="Sankt Jakobs Sogn"/>
    <x v="142"/>
    <x v="0"/>
  </r>
  <r>
    <x v="0"/>
    <x v="8"/>
    <s v="7046"/>
    <s v="Hans Egedes Sogn"/>
    <x v="143"/>
    <x v="0"/>
  </r>
  <r>
    <x v="0"/>
    <x v="8"/>
    <s v="7046"/>
    <s v="Hans Egedes Sogn"/>
    <x v="144"/>
    <x v="0"/>
  </r>
  <r>
    <x v="0"/>
    <x v="8"/>
    <s v="7054"/>
    <s v="Aldersro Sogn"/>
    <x v="145"/>
    <x v="0"/>
  </r>
  <r>
    <x v="0"/>
    <x v="8"/>
    <s v="7055"/>
    <s v="Kildevælds Sogn"/>
    <x v="146"/>
    <x v="0"/>
  </r>
  <r>
    <x v="0"/>
    <x v="8"/>
    <s v="7056"/>
    <s v="Sions Sogn"/>
    <x v="147"/>
    <x v="0"/>
  </r>
  <r>
    <x v="0"/>
    <x v="8"/>
    <s v="7066"/>
    <s v="Lundehus Sogn"/>
    <x v="148"/>
    <x v="0"/>
  </r>
  <r>
    <x v="0"/>
    <x v="8"/>
    <s v="9175"/>
    <s v="Davids Sogn"/>
    <x v="149"/>
    <x v="0"/>
  </r>
  <r>
    <x v="1"/>
    <x v="9"/>
    <s v="7130"/>
    <s v="Gladsaxe Sogn"/>
    <x v="150"/>
    <x v="0"/>
  </r>
  <r>
    <x v="1"/>
    <x v="9"/>
    <s v="7130"/>
    <s v="Gladsaxe Sogn"/>
    <x v="151"/>
    <x v="0"/>
  </r>
  <r>
    <x v="1"/>
    <x v="9"/>
    <s v="7131"/>
    <s v="Søborggård Sogn"/>
    <x v="152"/>
    <x v="0"/>
  </r>
  <r>
    <x v="1"/>
    <x v="9"/>
    <s v="7132"/>
    <s v="Bagsværd Sogn"/>
    <x v="153"/>
    <x v="0"/>
  </r>
  <r>
    <x v="1"/>
    <x v="9"/>
    <s v="7133"/>
    <s v="Stengård Sogn"/>
    <x v="154"/>
    <x v="0"/>
  </r>
  <r>
    <x v="1"/>
    <x v="9"/>
    <s v="7134"/>
    <s v="Mørkhøj Sogn"/>
    <x v="155"/>
    <x v="0"/>
  </r>
  <r>
    <x v="1"/>
    <x v="9"/>
    <s v="7135"/>
    <s v="Herlev Sogn"/>
    <x v="156"/>
    <x v="0"/>
  </r>
  <r>
    <x v="1"/>
    <x v="9"/>
    <s v="7136"/>
    <s v="Præstebro Sogn"/>
    <x v="157"/>
    <x v="0"/>
  </r>
  <r>
    <x v="1"/>
    <x v="9"/>
    <s v="7136"/>
    <s v="Præstebro Sogn"/>
    <x v="158"/>
    <x v="0"/>
  </r>
  <r>
    <x v="1"/>
    <x v="9"/>
    <s v="9068"/>
    <s v="Søborgmagle Sogn"/>
    <x v="159"/>
    <x v="0"/>
  </r>
  <r>
    <x v="1"/>
    <x v="9"/>
    <s v="9071"/>
    <s v="Haralds Sogn"/>
    <x v="160"/>
    <x v="0"/>
  </r>
  <r>
    <x v="1"/>
    <x v="9"/>
    <s v="9072"/>
    <s v="Buddinge Sogn"/>
    <x v="161"/>
    <x v="0"/>
  </r>
  <r>
    <x v="1"/>
    <x v="9"/>
    <s v="9074"/>
    <s v="Lindehøj Sogn"/>
    <x v="162"/>
    <x v="0"/>
  </r>
  <r>
    <x v="1"/>
    <x v="9"/>
    <s v="9074"/>
    <s v="Lindehøj Sogn"/>
    <x v="163"/>
    <x v="0"/>
  </r>
  <r>
    <x v="1"/>
    <x v="10"/>
    <s v="7110"/>
    <s v="Helleruplund Sogn"/>
    <x v="164"/>
    <x v="0"/>
  </r>
  <r>
    <x v="1"/>
    <x v="10"/>
    <s v="7110"/>
    <s v="Helleruplund Sogn"/>
    <x v="165"/>
    <x v="0"/>
  </r>
  <r>
    <x v="1"/>
    <x v="10"/>
    <s v="7110"/>
    <s v="Helleruplund Sogn"/>
    <x v="166"/>
    <x v="0"/>
  </r>
  <r>
    <x v="1"/>
    <x v="10"/>
    <s v="7111"/>
    <s v="Gentofte Sogn"/>
    <x v="167"/>
    <x v="0"/>
  </r>
  <r>
    <x v="1"/>
    <x v="10"/>
    <s v="7111"/>
    <s v="Gentofte Sogn"/>
    <x v="168"/>
    <x v="0"/>
  </r>
  <r>
    <x v="1"/>
    <x v="10"/>
    <s v="7112"/>
    <s v="Jægersborg Sogn"/>
    <x v="169"/>
    <x v="0"/>
  </r>
  <r>
    <x v="1"/>
    <x v="10"/>
    <s v="7113"/>
    <s v="Vangede Sogn"/>
    <x v="170"/>
    <x v="0"/>
  </r>
  <r>
    <x v="1"/>
    <x v="10"/>
    <s v="7113"/>
    <s v="Vangede Sogn"/>
    <x v="171"/>
    <x v="0"/>
  </r>
  <r>
    <x v="1"/>
    <x v="10"/>
    <s v="7114"/>
    <s v="Dyssegård Sogn"/>
    <x v="172"/>
    <x v="0"/>
  </r>
  <r>
    <x v="1"/>
    <x v="10"/>
    <s v="7115"/>
    <s v="Ordrup Sogn"/>
    <x v="173"/>
    <x v="0"/>
  </r>
  <r>
    <x v="1"/>
    <x v="10"/>
    <s v="7115"/>
    <s v="Ordrup Sogn"/>
    <x v="174"/>
    <x v="2"/>
  </r>
  <r>
    <x v="1"/>
    <x v="10"/>
    <s v="7116"/>
    <s v="Skovshoved Sogn"/>
    <x v="175"/>
    <x v="0"/>
  </r>
  <r>
    <x v="1"/>
    <x v="10"/>
    <s v="7117"/>
    <s v="Hellerup Sogn"/>
    <x v="176"/>
    <x v="0"/>
  </r>
  <r>
    <x v="1"/>
    <x v="10"/>
    <s v="7118"/>
    <s v="Maglegårds Sogn"/>
    <x v="177"/>
    <x v="0"/>
  </r>
  <r>
    <x v="1"/>
    <x v="11"/>
    <s v="7144"/>
    <s v="Brøndbyvester Sogn"/>
    <x v="178"/>
    <x v="0"/>
  </r>
  <r>
    <x v="1"/>
    <x v="11"/>
    <s v="7144"/>
    <s v="Brøndbyvester Sogn"/>
    <x v="179"/>
    <x v="0"/>
  </r>
  <r>
    <x v="1"/>
    <x v="11"/>
    <s v="7145"/>
    <s v="Brøndbyøster Sogn"/>
    <x v="180"/>
    <x v="0"/>
  </r>
  <r>
    <x v="1"/>
    <x v="11"/>
    <s v="7145"/>
    <s v="Brøndbyøster Sogn"/>
    <x v="181"/>
    <x v="0"/>
  </r>
  <r>
    <x v="1"/>
    <x v="11"/>
    <s v="7147"/>
    <s v="Glostrup Sogn"/>
    <x v="182"/>
    <x v="0"/>
  </r>
  <r>
    <x v="1"/>
    <x v="11"/>
    <s v="7147"/>
    <s v="Glostrup Sogn"/>
    <x v="183"/>
    <x v="0"/>
  </r>
  <r>
    <x v="1"/>
    <x v="11"/>
    <s v="7147"/>
    <s v="Glostrup Sogn"/>
    <x v="184"/>
    <x v="0"/>
  </r>
  <r>
    <x v="1"/>
    <x v="11"/>
    <s v="7147"/>
    <s v="Glostrup Sogn"/>
    <x v="185"/>
    <x v="0"/>
  </r>
  <r>
    <x v="1"/>
    <x v="11"/>
    <s v="7148"/>
    <s v="Herstedøster Sogn"/>
    <x v="186"/>
    <x v="0"/>
  </r>
  <r>
    <x v="1"/>
    <x v="11"/>
    <s v="7149"/>
    <s v="Vallensbæk Sogn"/>
    <x v="187"/>
    <x v="0"/>
  </r>
  <r>
    <x v="1"/>
    <x v="11"/>
    <s v="7149"/>
    <s v="Vallensbæk Sogn"/>
    <x v="188"/>
    <x v="0"/>
  </r>
  <r>
    <x v="1"/>
    <x v="11"/>
    <s v="7155"/>
    <s v="Herstedvester Sogn"/>
    <x v="189"/>
    <x v="0"/>
  </r>
  <r>
    <x v="1"/>
    <x v="11"/>
    <s v="7155"/>
    <s v="Herstedvester Sogn"/>
    <x v="190"/>
    <x v="3"/>
  </r>
  <r>
    <x v="1"/>
    <x v="11"/>
    <s v="9084"/>
    <s v="Brøndby Strand Sogn"/>
    <x v="191"/>
    <x v="0"/>
  </r>
  <r>
    <x v="1"/>
    <x v="11"/>
    <s v="9115"/>
    <s v="Nygårds Sogn"/>
    <x v="192"/>
    <x v="0"/>
  </r>
  <r>
    <x v="1"/>
    <x v="11"/>
    <s v="9134"/>
    <s v="Opstandelseskirkens Sogn"/>
    <x v="193"/>
    <x v="3"/>
  </r>
  <r>
    <x v="1"/>
    <x v="11"/>
    <s v="9134"/>
    <s v="Opstandelseskirkens Sogn"/>
    <x v="194"/>
    <x v="0"/>
  </r>
  <r>
    <x v="1"/>
    <x v="12"/>
    <s v="7437"/>
    <s v="Sankt Olai Sogn"/>
    <x v="195"/>
    <x v="0"/>
  </r>
  <r>
    <x v="1"/>
    <x v="12"/>
    <s v="7437"/>
    <s v="Sankt Olai Sogn"/>
    <x v="196"/>
    <x v="0"/>
  </r>
  <r>
    <x v="1"/>
    <x v="12"/>
    <s v="7438"/>
    <s v="Sankt Mariæ Sogn"/>
    <x v="197"/>
    <x v="0"/>
  </r>
  <r>
    <x v="1"/>
    <x v="12"/>
    <s v="7438"/>
    <s v="Sankt Mariæ Sogn"/>
    <x v="198"/>
    <x v="1"/>
  </r>
  <r>
    <x v="1"/>
    <x v="12"/>
    <s v="7439"/>
    <s v="Vestervang Sogn"/>
    <x v="199"/>
    <x v="0"/>
  </r>
  <r>
    <x v="1"/>
    <x v="12"/>
    <s v="7440"/>
    <s v="Tikøb Sogn"/>
    <x v="200"/>
    <x v="0"/>
  </r>
  <r>
    <x v="1"/>
    <x v="12"/>
    <s v="7441"/>
    <s v="Hornbæk Sogn"/>
    <x v="201"/>
    <x v="0"/>
  </r>
  <r>
    <x v="1"/>
    <x v="12"/>
    <s v="7442"/>
    <s v="Hellebæk Sogn"/>
    <x v="202"/>
    <x v="0"/>
  </r>
  <r>
    <x v="1"/>
    <x v="12"/>
    <s v="7443"/>
    <s v="Egebæksvang Sogn"/>
    <x v="203"/>
    <x v="0"/>
  </r>
  <r>
    <x v="1"/>
    <x v="12"/>
    <s v="9098"/>
    <s v="Sthens Sogn"/>
    <x v="204"/>
    <x v="0"/>
  </r>
  <r>
    <x v="1"/>
    <x v="12"/>
    <s v="9103"/>
    <s v="Mørdrup Sogn"/>
    <x v="205"/>
    <x v="0"/>
  </r>
  <r>
    <x v="1"/>
    <x v="12"/>
    <s v="9240"/>
    <s v="Gurre Sogn"/>
    <x v="206"/>
    <x v="0"/>
  </r>
  <r>
    <x v="1"/>
    <x v="13"/>
    <s v="7446"/>
    <s v="Humlebæk Sogn"/>
    <x v="207"/>
    <x v="0"/>
  </r>
  <r>
    <x v="1"/>
    <x v="13"/>
    <s v="7446"/>
    <s v="Humlebæk Sogn"/>
    <x v="208"/>
    <x v="0"/>
  </r>
  <r>
    <x v="1"/>
    <x v="13"/>
    <s v="7451"/>
    <s v="Hørsholm Sogn"/>
    <x v="209"/>
    <x v="0"/>
  </r>
  <r>
    <x v="1"/>
    <x v="13"/>
    <s v="7451"/>
    <s v="Hørsholm Sogn"/>
    <x v="210"/>
    <x v="0"/>
  </r>
  <r>
    <x v="1"/>
    <x v="13"/>
    <s v="7452"/>
    <s v="Karlebo Sogn"/>
    <x v="211"/>
    <x v="0"/>
  </r>
  <r>
    <x v="1"/>
    <x v="13"/>
    <s v="7452"/>
    <s v="Karlebo Sogn"/>
    <x v="212"/>
    <x v="1"/>
  </r>
  <r>
    <x v="1"/>
    <x v="13"/>
    <s v="7452"/>
    <s v="Karlebo Sogn"/>
    <x v="213"/>
    <x v="1"/>
  </r>
  <r>
    <x v="1"/>
    <x v="13"/>
    <s v="9080"/>
    <s v="Rungsted Sogn"/>
    <x v="214"/>
    <x v="0"/>
  </r>
  <r>
    <x v="1"/>
    <x v="13"/>
    <s v="9145"/>
    <s v="Kokkedal Sogn"/>
    <x v="215"/>
    <x v="0"/>
  </r>
  <r>
    <x v="1"/>
    <x v="13"/>
    <s v="9334"/>
    <s v="Asminderød-Grønholt Sogn"/>
    <x v="216"/>
    <x v="1"/>
  </r>
  <r>
    <x v="1"/>
    <x v="13"/>
    <s v="9334"/>
    <s v="Asminderød-Grønholt Sogn"/>
    <x v="217"/>
    <x v="0"/>
  </r>
  <r>
    <x v="1"/>
    <x v="13"/>
    <s v="9334"/>
    <s v="Asminderød-Grønholt Sogn"/>
    <x v="218"/>
    <x v="0"/>
  </r>
  <r>
    <x v="1"/>
    <x v="13"/>
    <s v="9334"/>
    <s v="Asminderød-Grønholt Sogn"/>
    <x v="219"/>
    <x v="0"/>
  </r>
  <r>
    <x v="1"/>
    <x v="14"/>
    <s v="7185"/>
    <s v="Ledøje Sogn"/>
    <x v="220"/>
    <x v="0"/>
  </r>
  <r>
    <x v="1"/>
    <x v="14"/>
    <s v="7186"/>
    <s v="Smørum Sogn"/>
    <x v="221"/>
    <x v="0"/>
  </r>
  <r>
    <x v="1"/>
    <x v="14"/>
    <s v="7409"/>
    <s v="Ølstykke Sogn"/>
    <x v="222"/>
    <x v="1"/>
  </r>
  <r>
    <x v="1"/>
    <x v="14"/>
    <s v="7409"/>
    <s v="Ølstykke Sogn"/>
    <x v="223"/>
    <x v="0"/>
  </r>
  <r>
    <x v="1"/>
    <x v="14"/>
    <s v="7410"/>
    <s v="Stenløse Sogn"/>
    <x v="224"/>
    <x v="0"/>
  </r>
  <r>
    <x v="1"/>
    <x v="14"/>
    <s v="7411"/>
    <s v="Veksø Sogn"/>
    <x v="225"/>
    <x v="0"/>
  </r>
  <r>
    <x v="1"/>
    <x v="14"/>
    <s v="7412"/>
    <s v="Slagslunde Sogn"/>
    <x v="226"/>
    <x v="0"/>
  </r>
  <r>
    <x v="1"/>
    <x v="14"/>
    <s v="7413"/>
    <s v="Ganløse Sogn"/>
    <x v="227"/>
    <x v="0"/>
  </r>
  <r>
    <x v="1"/>
    <x v="14"/>
    <s v="7418"/>
    <s v="Frederikssund Sogn"/>
    <x v="228"/>
    <x v="0"/>
  </r>
  <r>
    <x v="1"/>
    <x v="14"/>
    <s v="7419"/>
    <s v="Oppe Sundby Sogn"/>
    <x v="229"/>
    <x v="0"/>
  </r>
  <r>
    <x v="1"/>
    <x v="14"/>
    <s v="7419"/>
    <s v="Oppe Sundby Sogn"/>
    <x v="230"/>
    <x v="0"/>
  </r>
  <r>
    <x v="1"/>
    <x v="14"/>
    <s v="7420"/>
    <s v="Snostrup Sogn"/>
    <x v="231"/>
    <x v="0"/>
  </r>
  <r>
    <x v="1"/>
    <x v="14"/>
    <s v="7421"/>
    <s v="Slangerup Sogn"/>
    <x v="232"/>
    <x v="0"/>
  </r>
  <r>
    <x v="1"/>
    <x v="14"/>
    <s v="7423"/>
    <s v="Græse Sogn"/>
    <x v="233"/>
    <x v="0"/>
  </r>
  <r>
    <x v="1"/>
    <x v="14"/>
    <s v="7424"/>
    <s v="Sigerslevvester Sogn"/>
    <x v="234"/>
    <x v="0"/>
  </r>
  <r>
    <x v="1"/>
    <x v="14"/>
    <s v="7427"/>
    <s v="Jørlunde Sogn"/>
    <x v="235"/>
    <x v="0"/>
  </r>
  <r>
    <x v="1"/>
    <x v="14"/>
    <s v="7453"/>
    <s v="Gerlev Sogn"/>
    <x v="236"/>
    <x v="0"/>
  </r>
  <r>
    <x v="1"/>
    <x v="14"/>
    <s v="7454"/>
    <s v="Draaby Sogn"/>
    <x v="237"/>
    <x v="0"/>
  </r>
  <r>
    <x v="1"/>
    <x v="14"/>
    <s v="7455"/>
    <s v="Skibby Sogn"/>
    <x v="238"/>
    <x v="0"/>
  </r>
  <r>
    <x v="1"/>
    <x v="14"/>
    <s v="7456"/>
    <s v="Ferslev Sogn"/>
    <x v="239"/>
    <x v="0"/>
  </r>
  <r>
    <x v="1"/>
    <x v="14"/>
    <s v="7457"/>
    <s v="Vellerup Sogn"/>
    <x v="240"/>
    <x v="0"/>
  </r>
  <r>
    <x v="1"/>
    <x v="14"/>
    <s v="7458"/>
    <s v="Skuldelev Sogn"/>
    <x v="241"/>
    <x v="0"/>
  </r>
  <r>
    <x v="1"/>
    <x v="14"/>
    <s v="7459"/>
    <s v="Selsø Sogn"/>
    <x v="242"/>
    <x v="0"/>
  </r>
  <r>
    <x v="1"/>
    <x v="14"/>
    <s v="7460"/>
    <s v="Kyndby Sogn"/>
    <x v="243"/>
    <x v="0"/>
  </r>
  <r>
    <x v="1"/>
    <x v="14"/>
    <s v="7461"/>
    <s v="Krogstrup Sogn"/>
    <x v="244"/>
    <x v="0"/>
  </r>
  <r>
    <x v="1"/>
    <x v="14"/>
    <s v="9113"/>
    <s v="Islebjerg Sogn"/>
    <x v="245"/>
    <x v="0"/>
  </r>
  <r>
    <x v="1"/>
    <x v="14"/>
    <s v="9113"/>
    <s v="Islebjerg Sogn"/>
    <x v="246"/>
    <x v="0"/>
  </r>
  <r>
    <x v="1"/>
    <x v="14"/>
    <s v="9242"/>
    <s v="Skoven Sogn"/>
    <x v="247"/>
    <x v="0"/>
  </r>
  <r>
    <x v="1"/>
    <x v="15"/>
    <s v="7392"/>
    <s v="Blistrup Sogn"/>
    <x v="248"/>
    <x v="0"/>
  </r>
  <r>
    <x v="1"/>
    <x v="15"/>
    <s v="7392"/>
    <s v="Blistrup Sogn"/>
    <x v="249"/>
    <x v="1"/>
  </r>
  <r>
    <x v="1"/>
    <x v="15"/>
    <s v="7392"/>
    <s v="Blistrup Sogn"/>
    <x v="250"/>
    <x v="0"/>
  </r>
  <r>
    <x v="1"/>
    <x v="15"/>
    <s v="7393"/>
    <s v="Vejby Sogn"/>
    <x v="251"/>
    <x v="0"/>
  </r>
  <r>
    <x v="1"/>
    <x v="15"/>
    <s v="7394"/>
    <s v="Tibirke Sogn"/>
    <x v="252"/>
    <x v="0"/>
  </r>
  <r>
    <x v="1"/>
    <x v="15"/>
    <s v="7395"/>
    <s v="Ramløse Sogn"/>
    <x v="253"/>
    <x v="0"/>
  </r>
  <r>
    <x v="1"/>
    <x v="15"/>
    <s v="7396"/>
    <s v="Annisse Sogn"/>
    <x v="254"/>
    <x v="0"/>
  </r>
  <r>
    <x v="1"/>
    <x v="15"/>
    <s v="7399"/>
    <s v="Kregme Sogn"/>
    <x v="255"/>
    <x v="0"/>
  </r>
  <r>
    <x v="1"/>
    <x v="15"/>
    <s v="7399"/>
    <s v="Kregme Sogn"/>
    <x v="256"/>
    <x v="0"/>
  </r>
  <r>
    <x v="1"/>
    <x v="15"/>
    <s v="7400"/>
    <s v="Ølsted Sogn"/>
    <x v="257"/>
    <x v="0"/>
  </r>
  <r>
    <x v="1"/>
    <x v="15"/>
    <s v="7407"/>
    <s v="Melby Sogn"/>
    <x v="258"/>
    <x v="0"/>
  </r>
  <r>
    <x v="1"/>
    <x v="15"/>
    <s v="7408"/>
    <s v="Torup Sogn"/>
    <x v="259"/>
    <x v="0"/>
  </r>
  <r>
    <x v="1"/>
    <x v="15"/>
    <s v="7408"/>
    <s v="Torup Sogn"/>
    <x v="260"/>
    <x v="1"/>
  </r>
  <r>
    <x v="1"/>
    <x v="15"/>
    <s v="7428"/>
    <s v="Esbønderup Sogn"/>
    <x v="261"/>
    <x v="0"/>
  </r>
  <r>
    <x v="1"/>
    <x v="15"/>
    <s v="7430"/>
    <s v="Søborg Sogn"/>
    <x v="152"/>
    <x v="0"/>
  </r>
  <r>
    <x v="1"/>
    <x v="15"/>
    <s v="7431"/>
    <s v="Gilleleje Sogn"/>
    <x v="262"/>
    <x v="0"/>
  </r>
  <r>
    <x v="1"/>
    <x v="15"/>
    <s v="7431"/>
    <s v="Gilleleje Sogn"/>
    <x v="263"/>
    <x v="0"/>
  </r>
  <r>
    <x v="1"/>
    <x v="15"/>
    <s v="7432"/>
    <s v="Græsted Sogn"/>
    <x v="264"/>
    <x v="0"/>
  </r>
  <r>
    <x v="1"/>
    <x v="15"/>
    <s v="7433"/>
    <s v="Mårum Sogn"/>
    <x v="265"/>
    <x v="0"/>
  </r>
  <r>
    <x v="1"/>
    <x v="15"/>
    <s v="7434"/>
    <s v="Helsinge Sogn"/>
    <x v="266"/>
    <x v="0"/>
  </r>
  <r>
    <x v="1"/>
    <x v="15"/>
    <s v="7435"/>
    <s v="Valby Sogn"/>
    <x v="267"/>
    <x v="0"/>
  </r>
  <r>
    <x v="1"/>
    <x v="15"/>
    <s v="9186"/>
    <s v="Frederiksværk-Vinderød Sogn"/>
    <x v="268"/>
    <x v="0"/>
  </r>
  <r>
    <x v="1"/>
    <x v="15"/>
    <s v="9186"/>
    <s v="Frederiksværk-Vinderød Sogn"/>
    <x v="269"/>
    <x v="0"/>
  </r>
  <r>
    <x v="1"/>
    <x v="15"/>
    <s v="9186"/>
    <s v="Frederiksværk-Vinderød Sogn"/>
    <x v="270"/>
    <x v="0"/>
  </r>
  <r>
    <x v="1"/>
    <x v="15"/>
    <s v="9243"/>
    <s v="Villingerød Sogn"/>
    <x v="271"/>
    <x v="0"/>
  </r>
  <r>
    <x v="1"/>
    <x v="16"/>
    <s v="7137"/>
    <s v="Rødovre Sogn"/>
    <x v="272"/>
    <x v="0"/>
  </r>
  <r>
    <x v="1"/>
    <x v="16"/>
    <s v="7138"/>
    <s v="Grøndalslund Sogn"/>
    <x v="273"/>
    <x v="0"/>
  </r>
  <r>
    <x v="1"/>
    <x v="16"/>
    <s v="7139"/>
    <s v="Islev Sogn"/>
    <x v="274"/>
    <x v="0"/>
  </r>
  <r>
    <x v="1"/>
    <x v="16"/>
    <s v="7139"/>
    <s v="Islev Sogn"/>
    <x v="275"/>
    <x v="2"/>
  </r>
  <r>
    <x v="1"/>
    <x v="16"/>
    <s v="7139"/>
    <s v="Islev Sogn"/>
    <x v="276"/>
    <x v="2"/>
  </r>
  <r>
    <x v="1"/>
    <x v="16"/>
    <s v="7140"/>
    <s v="Hendriksholm Sogn"/>
    <x v="277"/>
    <x v="0"/>
  </r>
  <r>
    <x v="1"/>
    <x v="16"/>
    <s v="7141"/>
    <s v="Hvidovre Sogn"/>
    <x v="278"/>
    <x v="0"/>
  </r>
  <r>
    <x v="1"/>
    <x v="16"/>
    <s v="7141"/>
    <s v="Hvidovre Sogn"/>
    <x v="279"/>
    <x v="0"/>
  </r>
  <r>
    <x v="1"/>
    <x v="16"/>
    <s v="7141"/>
    <s v="Hvidovre Sogn"/>
    <x v="280"/>
    <x v="1"/>
  </r>
  <r>
    <x v="1"/>
    <x v="16"/>
    <s v="7142"/>
    <s v="Strandmarks Sogn"/>
    <x v="281"/>
    <x v="0"/>
  </r>
  <r>
    <x v="1"/>
    <x v="16"/>
    <s v="7142"/>
    <s v="Strandmarks Sogn"/>
    <x v="282"/>
    <x v="0"/>
  </r>
  <r>
    <x v="1"/>
    <x v="16"/>
    <s v="7143"/>
    <s v="Risbjerg Sogn"/>
    <x v="283"/>
    <x v="0"/>
  </r>
  <r>
    <x v="1"/>
    <x v="16"/>
    <s v="7143"/>
    <s v="Risbjerg Sogn"/>
    <x v="284"/>
    <x v="0"/>
  </r>
  <r>
    <x v="1"/>
    <x v="16"/>
    <s v="7146"/>
    <s v="Avedøre Sogn"/>
    <x v="285"/>
    <x v="0"/>
  </r>
  <r>
    <x v="1"/>
    <x v="17"/>
    <s v="7154"/>
    <s v="Værløse Sogn"/>
    <x v="286"/>
    <x v="0"/>
  </r>
  <r>
    <x v="1"/>
    <x v="17"/>
    <s v="7154"/>
    <s v="Værløse Sogn"/>
    <x v="287"/>
    <x v="1"/>
  </r>
  <r>
    <x v="1"/>
    <x v="17"/>
    <s v="7187"/>
    <s v="Ballerup Sogn"/>
    <x v="288"/>
    <x v="0"/>
  </r>
  <r>
    <x v="1"/>
    <x v="17"/>
    <s v="7187"/>
    <s v="Ballerup Sogn"/>
    <x v="289"/>
    <x v="1"/>
  </r>
  <r>
    <x v="1"/>
    <x v="17"/>
    <s v="7187"/>
    <s v="Ballerup Sogn"/>
    <x v="290"/>
    <x v="0"/>
  </r>
  <r>
    <x v="1"/>
    <x v="17"/>
    <s v="7188"/>
    <s v="Måløv Sogn"/>
    <x v="291"/>
    <x v="0"/>
  </r>
  <r>
    <x v="1"/>
    <x v="17"/>
    <s v="7189"/>
    <s v="Skovlunde Sogn"/>
    <x v="292"/>
    <x v="0"/>
  </r>
  <r>
    <x v="1"/>
    <x v="17"/>
    <s v="7414"/>
    <s v="Farum Sogn"/>
    <x v="293"/>
    <x v="0"/>
  </r>
  <r>
    <x v="1"/>
    <x v="17"/>
    <s v="7414"/>
    <s v="Farum Sogn"/>
    <x v="294"/>
    <x v="1"/>
  </r>
  <r>
    <x v="1"/>
    <x v="17"/>
    <s v="7414"/>
    <s v="Farum Sogn"/>
    <x v="295"/>
    <x v="0"/>
  </r>
  <r>
    <x v="1"/>
    <x v="17"/>
    <s v="9089"/>
    <s v="Pederstrup Sogn"/>
    <x v="296"/>
    <x v="0"/>
  </r>
  <r>
    <x v="1"/>
    <x v="17"/>
    <s v="9089"/>
    <s v="Pederstrup Sogn"/>
    <x v="297"/>
    <x v="1"/>
  </r>
  <r>
    <x v="1"/>
    <x v="17"/>
    <s v="9239"/>
    <s v="Hareskov Sogn"/>
    <x v="298"/>
    <x v="0"/>
  </r>
  <r>
    <x v="1"/>
    <x v="18"/>
    <s v="7119"/>
    <s v="Kongens Lyngby Sogn"/>
    <x v="299"/>
    <x v="0"/>
  </r>
  <r>
    <x v="1"/>
    <x v="18"/>
    <s v="7119"/>
    <s v="Kongens Lyngby Sogn"/>
    <x v="300"/>
    <x v="0"/>
  </r>
  <r>
    <x v="1"/>
    <x v="18"/>
    <s v="7120"/>
    <s v="Christians Sogn"/>
    <x v="301"/>
    <x v="0"/>
  </r>
  <r>
    <x v="1"/>
    <x v="18"/>
    <s v="7121"/>
    <s v="Virum Sogn"/>
    <x v="302"/>
    <x v="0"/>
  </r>
  <r>
    <x v="1"/>
    <x v="18"/>
    <s v="7122"/>
    <s v="Sorgenfri Sogn"/>
    <x v="303"/>
    <x v="0"/>
  </r>
  <r>
    <x v="1"/>
    <x v="18"/>
    <s v="7123"/>
    <s v="Lundtofte Sogn"/>
    <x v="304"/>
    <x v="0"/>
  </r>
  <r>
    <x v="1"/>
    <x v="18"/>
    <s v="7123"/>
    <s v="Lundtofte Sogn"/>
    <x v="305"/>
    <x v="0"/>
  </r>
  <r>
    <x v="1"/>
    <x v="18"/>
    <s v="7123"/>
    <s v="Lundtofte Sogn"/>
    <x v="306"/>
    <x v="0"/>
  </r>
  <r>
    <x v="1"/>
    <x v="18"/>
    <s v="7123"/>
    <s v="Lundtofte Sogn"/>
    <x v="307"/>
    <x v="0"/>
  </r>
  <r>
    <x v="1"/>
    <x v="18"/>
    <s v="7124"/>
    <s v="Taarbæk Sogn"/>
    <x v="308"/>
    <x v="0"/>
  </r>
  <r>
    <x v="1"/>
    <x v="19"/>
    <s v="7401"/>
    <s v="Tjæreby Sogn"/>
    <x v="309"/>
    <x v="0"/>
  </r>
  <r>
    <x v="1"/>
    <x v="19"/>
    <s v="7402"/>
    <s v="Alsønderup Sogn"/>
    <x v="310"/>
    <x v="0"/>
  </r>
  <r>
    <x v="1"/>
    <x v="19"/>
    <s v="7403"/>
    <s v="Skævinge Sogn"/>
    <x v="311"/>
    <x v="0"/>
  </r>
  <r>
    <x v="1"/>
    <x v="19"/>
    <s v="7404"/>
    <s v="Lille Lyngby Sogn"/>
    <x v="312"/>
    <x v="0"/>
  </r>
  <r>
    <x v="1"/>
    <x v="19"/>
    <s v="7405"/>
    <s v="Strø Sogn"/>
    <x v="313"/>
    <x v="0"/>
  </r>
  <r>
    <x v="1"/>
    <x v="19"/>
    <s v="7406"/>
    <s v="Gørløse Sogn"/>
    <x v="314"/>
    <x v="0"/>
  </r>
  <r>
    <x v="1"/>
    <x v="19"/>
    <s v="7415"/>
    <s v="Hillerød Sogn"/>
    <x v="315"/>
    <x v="0"/>
  </r>
  <r>
    <x v="1"/>
    <x v="19"/>
    <s v="7415"/>
    <s v="Hillerød Sogn"/>
    <x v="316"/>
    <x v="0"/>
  </r>
  <r>
    <x v="1"/>
    <x v="19"/>
    <s v="7416"/>
    <s v="Nørre Herlev Sogn"/>
    <x v="317"/>
    <x v="0"/>
  </r>
  <r>
    <x v="1"/>
    <x v="19"/>
    <s v="7417"/>
    <s v="Præstevang Sogn"/>
    <x v="318"/>
    <x v="0"/>
  </r>
  <r>
    <x v="1"/>
    <x v="19"/>
    <s v="7417"/>
    <s v="Præstevang Sogn"/>
    <x v="319"/>
    <x v="0"/>
  </r>
  <r>
    <x v="1"/>
    <x v="19"/>
    <s v="7417"/>
    <s v="Præstevang Sogn"/>
    <x v="320"/>
    <x v="0"/>
  </r>
  <r>
    <x v="1"/>
    <x v="19"/>
    <s v="7417"/>
    <s v="Præstevang Sogn"/>
    <x v="321"/>
    <x v="0"/>
  </r>
  <r>
    <x v="1"/>
    <x v="19"/>
    <s v="7422"/>
    <s v="Uvelse Sogn"/>
    <x v="322"/>
    <x v="0"/>
  </r>
  <r>
    <x v="1"/>
    <x v="19"/>
    <s v="7425"/>
    <s v="Lynge Sogn"/>
    <x v="323"/>
    <x v="0"/>
  </r>
  <r>
    <x v="1"/>
    <x v="19"/>
    <s v="7426"/>
    <s v="Uggeløse Sogn"/>
    <x v="324"/>
    <x v="0"/>
  </r>
  <r>
    <x v="1"/>
    <x v="19"/>
    <s v="7429"/>
    <s v="Nødebo Sogn"/>
    <x v="325"/>
    <x v="0"/>
  </r>
  <r>
    <x v="1"/>
    <x v="19"/>
    <s v="7436"/>
    <s v="Frederiksborg Slotssogn"/>
    <x v="326"/>
    <x v="0"/>
  </r>
  <r>
    <x v="1"/>
    <x v="19"/>
    <s v="7436"/>
    <s v="Frederiksborg Slotssogn"/>
    <x v="327"/>
    <x v="0"/>
  </r>
  <r>
    <x v="1"/>
    <x v="19"/>
    <s v="7449"/>
    <s v="Blovstrød Sogn"/>
    <x v="328"/>
    <x v="0"/>
  </r>
  <r>
    <x v="1"/>
    <x v="19"/>
    <s v="7450"/>
    <s v="Lillerød Sogn"/>
    <x v="329"/>
    <x v="0"/>
  </r>
  <r>
    <x v="1"/>
    <x v="19"/>
    <s v="7467"/>
    <s v="Ullerød Sogn"/>
    <x v="330"/>
    <x v="0"/>
  </r>
  <r>
    <x v="1"/>
    <x v="19"/>
    <s v="9154"/>
    <s v="Grønnevang Sogn"/>
    <x v="331"/>
    <x v="0"/>
  </r>
  <r>
    <x v="1"/>
    <x v="19"/>
    <s v="9155"/>
    <s v="Engholm Sogn"/>
    <x v="332"/>
    <x v="0"/>
  </r>
  <r>
    <x v="1"/>
    <x v="19"/>
    <s v="9241"/>
    <s v="Gadevang Sogn"/>
    <x v="333"/>
    <x v="0"/>
  </r>
  <r>
    <x v="1"/>
    <x v="20"/>
    <s v="7150"/>
    <s v="Torslunde Sogn"/>
    <x v="334"/>
    <x v="0"/>
  </r>
  <r>
    <x v="1"/>
    <x v="20"/>
    <s v="7151"/>
    <s v="Ishøj Sogn"/>
    <x v="335"/>
    <x v="0"/>
  </r>
  <r>
    <x v="1"/>
    <x v="20"/>
    <s v="7151"/>
    <s v="Ishøj Sogn"/>
    <x v="336"/>
    <x v="1"/>
  </r>
  <r>
    <x v="1"/>
    <x v="20"/>
    <s v="7152"/>
    <s v="Høje Taastrup Sogn"/>
    <x v="337"/>
    <x v="0"/>
  </r>
  <r>
    <x v="1"/>
    <x v="20"/>
    <s v="7153"/>
    <s v="Taastrup Nykirke Sogn"/>
    <x v="338"/>
    <x v="0"/>
  </r>
  <r>
    <x v="1"/>
    <x v="20"/>
    <s v="7162"/>
    <s v="Fløng Sogn"/>
    <x v="339"/>
    <x v="0"/>
  </r>
  <r>
    <x v="1"/>
    <x v="20"/>
    <s v="7162"/>
    <s v="Fløng Sogn"/>
    <x v="340"/>
    <x v="0"/>
  </r>
  <r>
    <x v="1"/>
    <x v="20"/>
    <s v="7184"/>
    <s v="Sengeløse Sogn"/>
    <x v="341"/>
    <x v="0"/>
  </r>
  <r>
    <x v="1"/>
    <x v="20"/>
    <s v="7196"/>
    <s v="Reerslev Sogn"/>
    <x v="342"/>
    <x v="0"/>
  </r>
  <r>
    <x v="1"/>
    <x v="20"/>
    <s v="9083"/>
    <s v="Hedehusene Sogn"/>
    <x v="59"/>
    <x v="0"/>
  </r>
  <r>
    <x v="1"/>
    <x v="20"/>
    <s v="9094"/>
    <s v="Rønnevang Sogn"/>
    <x v="343"/>
    <x v="0"/>
  </r>
  <r>
    <x v="1"/>
    <x v="21"/>
    <s v="7125"/>
    <s v="Søllerød Sogn"/>
    <x v="344"/>
    <x v="0"/>
  </r>
  <r>
    <x v="1"/>
    <x v="21"/>
    <s v="7126"/>
    <s v="Vedbæk Sogn"/>
    <x v="345"/>
    <x v="0"/>
  </r>
  <r>
    <x v="1"/>
    <x v="21"/>
    <s v="7126"/>
    <s v="Vedbæk Sogn"/>
    <x v="346"/>
    <x v="0"/>
  </r>
  <r>
    <x v="1"/>
    <x v="21"/>
    <s v="7127"/>
    <s v="Ny Holte Sogn"/>
    <x v="347"/>
    <x v="0"/>
  </r>
  <r>
    <x v="1"/>
    <x v="21"/>
    <s v="7128"/>
    <s v="Gammel Holte Sogn"/>
    <x v="348"/>
    <x v="0"/>
  </r>
  <r>
    <x v="1"/>
    <x v="21"/>
    <s v="7129"/>
    <s v="Nærum Sogn"/>
    <x v="349"/>
    <x v="0"/>
  </r>
  <r>
    <x v="1"/>
    <x v="21"/>
    <s v="7129"/>
    <s v="Nærum Sogn"/>
    <x v="350"/>
    <x v="0"/>
  </r>
  <r>
    <x v="1"/>
    <x v="21"/>
    <s v="7448"/>
    <s v="Bistrup Sogn"/>
    <x v="351"/>
    <x v="0"/>
  </r>
  <r>
    <x v="1"/>
    <x v="21"/>
    <s v="7448"/>
    <s v="Bistrup Sogn"/>
    <x v="352"/>
    <x v="0"/>
  </r>
  <r>
    <x v="1"/>
    <x v="21"/>
    <s v="9310"/>
    <s v="Høsterkøb Sogn"/>
    <x v="353"/>
    <x v="0"/>
  </r>
  <r>
    <x v="1"/>
    <x v="21"/>
    <s v="9311"/>
    <s v="Birkerød Sogn"/>
    <x v="354"/>
    <x v="0"/>
  </r>
  <r>
    <x v="2"/>
    <x v="22"/>
    <s v="7156"/>
    <s v="Roskilde Domsogn"/>
    <x v="355"/>
    <x v="0"/>
  </r>
  <r>
    <x v="2"/>
    <x v="22"/>
    <s v="7156"/>
    <s v="Roskilde Domsogn"/>
    <x v="356"/>
    <x v="0"/>
  </r>
  <r>
    <x v="2"/>
    <x v="22"/>
    <s v="7156"/>
    <s v="Roskilde Domsogn"/>
    <x v="117"/>
    <x v="1"/>
  </r>
  <r>
    <x v="2"/>
    <x v="22"/>
    <s v="7157"/>
    <s v="Roskilde Søndre Sogn"/>
    <x v="357"/>
    <x v="0"/>
  </r>
  <r>
    <x v="2"/>
    <x v="22"/>
    <s v="7157"/>
    <s v="Roskilde Søndre Sogn"/>
    <x v="358"/>
    <x v="0"/>
  </r>
  <r>
    <x v="2"/>
    <x v="22"/>
    <s v="7158"/>
    <s v="Vor Frue Sogn"/>
    <x v="117"/>
    <x v="0"/>
  </r>
  <r>
    <x v="2"/>
    <x v="22"/>
    <s v="7159"/>
    <s v="Sankt Jørgensbjerg Sogn"/>
    <x v="359"/>
    <x v="0"/>
  </r>
  <r>
    <x v="2"/>
    <x v="22"/>
    <s v="7159"/>
    <s v="Sankt Jørgensbjerg Sogn"/>
    <x v="360"/>
    <x v="0"/>
  </r>
  <r>
    <x v="2"/>
    <x v="22"/>
    <s v="7159"/>
    <s v="Sankt Jørgensbjerg Sogn"/>
    <x v="361"/>
    <x v="0"/>
  </r>
  <r>
    <x v="2"/>
    <x v="22"/>
    <s v="7159"/>
    <s v="Sankt Jørgensbjerg Sogn"/>
    <x v="362"/>
    <x v="2"/>
  </r>
  <r>
    <x v="2"/>
    <x v="22"/>
    <s v="7160"/>
    <s v="Himmelev Sogn"/>
    <x v="363"/>
    <x v="0"/>
  </r>
  <r>
    <x v="2"/>
    <x v="22"/>
    <s v="7160"/>
    <s v="Himmelev Sogn"/>
    <x v="364"/>
    <x v="0"/>
  </r>
  <r>
    <x v="2"/>
    <x v="22"/>
    <s v="7160"/>
    <s v="Himmelev Sogn"/>
    <x v="365"/>
    <x v="1"/>
  </r>
  <r>
    <x v="2"/>
    <x v="22"/>
    <s v="7161"/>
    <s v="Hvedstrup Sogn"/>
    <x v="366"/>
    <x v="0"/>
  </r>
  <r>
    <x v="2"/>
    <x v="22"/>
    <s v="7166"/>
    <s v="Svogerslev Sogn"/>
    <x v="367"/>
    <x v="0"/>
  </r>
  <r>
    <x v="2"/>
    <x v="22"/>
    <s v="7167"/>
    <s v="Ågerup Sogn"/>
    <x v="368"/>
    <x v="0"/>
  </r>
  <r>
    <x v="2"/>
    <x v="22"/>
    <s v="7168"/>
    <s v="Kirkerup Sogn"/>
    <x v="369"/>
    <x v="0"/>
  </r>
  <r>
    <x v="2"/>
    <x v="22"/>
    <s v="7169"/>
    <s v="Jyllinge Sogn"/>
    <x v="4"/>
    <x v="0"/>
  </r>
  <r>
    <x v="2"/>
    <x v="22"/>
    <s v="7169"/>
    <s v="Jyllinge Sogn"/>
    <x v="370"/>
    <x v="0"/>
  </r>
  <r>
    <x v="2"/>
    <x v="22"/>
    <s v="7170"/>
    <s v="Gundsømagle Sogn"/>
    <x v="371"/>
    <x v="0"/>
  </r>
  <r>
    <x v="2"/>
    <x v="22"/>
    <s v="7197"/>
    <s v="Vindinge Sogn"/>
    <x v="372"/>
    <x v="0"/>
  </r>
  <r>
    <x v="2"/>
    <x v="22"/>
    <s v="7198"/>
    <s v="Snoldelev Sogn"/>
    <x v="373"/>
    <x v="0"/>
  </r>
  <r>
    <x v="2"/>
    <x v="22"/>
    <s v="7210"/>
    <s v="Gadstrup Sogn"/>
    <x v="374"/>
    <x v="0"/>
  </r>
  <r>
    <x v="2"/>
    <x v="22"/>
    <s v="7211"/>
    <s v="Syv Sogn"/>
    <x v="375"/>
    <x v="0"/>
  </r>
  <r>
    <x v="2"/>
    <x v="22"/>
    <s v="7212"/>
    <s v="Ørsted Sogn"/>
    <x v="376"/>
    <x v="0"/>
  </r>
  <r>
    <x v="2"/>
    <x v="22"/>
    <s v="7213"/>
    <s v="Dåstrup Sogn"/>
    <x v="377"/>
    <x v="0"/>
  </r>
  <r>
    <x v="2"/>
    <x v="23"/>
    <s v="7163"/>
    <s v="Herslev Sogn"/>
    <x v="378"/>
    <x v="0"/>
  </r>
  <r>
    <x v="2"/>
    <x v="23"/>
    <s v="7164"/>
    <s v="Gevninge Sogn"/>
    <x v="379"/>
    <x v="0"/>
  </r>
  <r>
    <x v="2"/>
    <x v="23"/>
    <s v="7165"/>
    <s v="Kornerup Sogn"/>
    <x v="380"/>
    <x v="0"/>
  </r>
  <r>
    <x v="2"/>
    <x v="23"/>
    <s v="7171"/>
    <s v="Osted Sogn"/>
    <x v="381"/>
    <x v="0"/>
  </r>
  <r>
    <x v="2"/>
    <x v="23"/>
    <s v="7172"/>
    <s v="Allerslev Sogn"/>
    <x v="382"/>
    <x v="0"/>
  </r>
  <r>
    <x v="2"/>
    <x v="23"/>
    <s v="7172"/>
    <s v="Allerslev Sogn"/>
    <x v="383"/>
    <x v="0"/>
  </r>
  <r>
    <x v="2"/>
    <x v="23"/>
    <s v="7173"/>
    <s v="Kirke Hvalsø Sogn"/>
    <x v="384"/>
    <x v="0"/>
  </r>
  <r>
    <x v="2"/>
    <x v="23"/>
    <s v="7174"/>
    <s v="Særløse Sogn"/>
    <x v="385"/>
    <x v="0"/>
  </r>
  <r>
    <x v="2"/>
    <x v="23"/>
    <s v="7175"/>
    <s v="Kirke Saaby Sogn"/>
    <x v="386"/>
    <x v="0"/>
  </r>
  <r>
    <x v="2"/>
    <x v="23"/>
    <s v="7176"/>
    <s v="Kisserup Sogn"/>
    <x v="387"/>
    <x v="0"/>
  </r>
  <r>
    <x v="2"/>
    <x v="23"/>
    <s v="7177"/>
    <s v="Rye Sogn"/>
    <x v="388"/>
    <x v="0"/>
  </r>
  <r>
    <x v="2"/>
    <x v="23"/>
    <s v="7178"/>
    <s v="Kirke Sonnerup Sogn"/>
    <x v="389"/>
    <x v="0"/>
  </r>
  <r>
    <x v="2"/>
    <x v="23"/>
    <s v="7179"/>
    <s v="Kirke Hyllinge Sogn"/>
    <x v="390"/>
    <x v="0"/>
  </r>
  <r>
    <x v="2"/>
    <x v="23"/>
    <s v="7180"/>
    <s v="Lyndby Sogn"/>
    <x v="391"/>
    <x v="0"/>
  </r>
  <r>
    <x v="2"/>
    <x v="23"/>
    <s v="7181"/>
    <s v="Sæby Sogn"/>
    <x v="392"/>
    <x v="0"/>
  </r>
  <r>
    <x v="2"/>
    <x v="23"/>
    <s v="7182"/>
    <s v="Gershøj Sogn"/>
    <x v="393"/>
    <x v="0"/>
  </r>
  <r>
    <x v="2"/>
    <x v="23"/>
    <s v="7208"/>
    <s v="Rorup Sogn"/>
    <x v="394"/>
    <x v="0"/>
  </r>
  <r>
    <x v="2"/>
    <x v="23"/>
    <s v="7209"/>
    <s v="Glim Sogn"/>
    <x v="395"/>
    <x v="0"/>
  </r>
  <r>
    <x v="2"/>
    <x v="24"/>
    <s v="7206"/>
    <s v="Køge Sogn"/>
    <x v="396"/>
    <x v="0"/>
  </r>
  <r>
    <x v="2"/>
    <x v="24"/>
    <s v="7206"/>
    <s v="Køge Sogn"/>
    <x v="30"/>
    <x v="0"/>
  </r>
  <r>
    <x v="2"/>
    <x v="24"/>
    <s v="7207"/>
    <s v="Ølsemagle Sogn"/>
    <x v="397"/>
    <x v="0"/>
  </r>
  <r>
    <x v="2"/>
    <x v="24"/>
    <s v="7214"/>
    <s v="Borup Sogn"/>
    <x v="398"/>
    <x v="0"/>
  </r>
  <r>
    <x v="2"/>
    <x v="24"/>
    <s v="7215"/>
    <s v="Kimmerslev Sogn"/>
    <x v="399"/>
    <x v="0"/>
  </r>
  <r>
    <x v="2"/>
    <x v="24"/>
    <s v="7216"/>
    <s v="Ejby Sogn"/>
    <x v="400"/>
    <x v="0"/>
  </r>
  <r>
    <x v="2"/>
    <x v="24"/>
    <s v="7217"/>
    <s v="Nørre Dalby Sogn"/>
    <x v="401"/>
    <x v="0"/>
  </r>
  <r>
    <x v="2"/>
    <x v="24"/>
    <s v="7218"/>
    <s v="Højelse-Ølby Sogn"/>
    <x v="402"/>
    <x v="0"/>
  </r>
  <r>
    <x v="2"/>
    <x v="24"/>
    <s v="7218"/>
    <s v="Højelse-Ølby Sogn"/>
    <x v="403"/>
    <x v="1"/>
  </r>
  <r>
    <x v="2"/>
    <x v="24"/>
    <s v="7218"/>
    <s v="Højelse-Ølby Sogn"/>
    <x v="404"/>
    <x v="0"/>
  </r>
  <r>
    <x v="2"/>
    <x v="24"/>
    <s v="7492"/>
    <s v="Lellinge Sogn"/>
    <x v="405"/>
    <x v="0"/>
  </r>
  <r>
    <x v="2"/>
    <x v="24"/>
    <s v="7536"/>
    <s v="Lidemark Sogn"/>
    <x v="406"/>
    <x v="0"/>
  </r>
  <r>
    <x v="2"/>
    <x v="24"/>
    <s v="7537"/>
    <s v="Bjæverskov Sogn"/>
    <x v="407"/>
    <x v="0"/>
  </r>
  <r>
    <x v="2"/>
    <x v="24"/>
    <s v="7538"/>
    <s v="Vollerslev Sogn"/>
    <x v="408"/>
    <x v="0"/>
  </r>
  <r>
    <x v="2"/>
    <x v="24"/>
    <s v="7539"/>
    <s v="Gørslev Sogn"/>
    <x v="409"/>
    <x v="0"/>
  </r>
  <r>
    <x v="2"/>
    <x v="24"/>
    <s v="7540"/>
    <s v="Herfølge Sogn"/>
    <x v="410"/>
    <x v="0"/>
  </r>
  <r>
    <x v="2"/>
    <x v="24"/>
    <s v="7541"/>
    <s v="Sædder Sogn"/>
    <x v="411"/>
    <x v="1"/>
  </r>
  <r>
    <x v="2"/>
    <x v="24"/>
    <s v="7541"/>
    <s v="Sædder Sogn"/>
    <x v="412"/>
    <x v="0"/>
  </r>
  <r>
    <x v="2"/>
    <x v="24"/>
    <s v="9117"/>
    <s v="Boholte Sogn"/>
    <x v="413"/>
    <x v="0"/>
  </r>
  <r>
    <x v="2"/>
    <x v="25"/>
    <s v="7219"/>
    <s v="Ubby Sogn"/>
    <x v="414"/>
    <x v="0"/>
  </r>
  <r>
    <x v="2"/>
    <x v="25"/>
    <s v="7220"/>
    <s v="Svallerup Sogn"/>
    <x v="415"/>
    <x v="0"/>
  </r>
  <r>
    <x v="2"/>
    <x v="25"/>
    <s v="7221"/>
    <s v="Store Fuglede Sogn"/>
    <x v="416"/>
    <x v="0"/>
  </r>
  <r>
    <x v="2"/>
    <x v="25"/>
    <s v="7222"/>
    <s v="Lille Fuglede Sogn"/>
    <x v="417"/>
    <x v="0"/>
  </r>
  <r>
    <x v="2"/>
    <x v="25"/>
    <s v="7223"/>
    <s v="Sæby Sogn"/>
    <x v="392"/>
    <x v="0"/>
  </r>
  <r>
    <x v="2"/>
    <x v="25"/>
    <s v="7224"/>
    <s v="Hallenslev Sogn"/>
    <x v="418"/>
    <x v="0"/>
  </r>
  <r>
    <x v="2"/>
    <x v="25"/>
    <s v="7225"/>
    <s v="Buerup Sogn"/>
    <x v="419"/>
    <x v="0"/>
  </r>
  <r>
    <x v="2"/>
    <x v="25"/>
    <s v="7226"/>
    <s v="Reerslev Sogn"/>
    <x v="342"/>
    <x v="0"/>
  </r>
  <r>
    <x v="2"/>
    <x v="25"/>
    <s v="7231"/>
    <s v="Ørslev Sogn"/>
    <x v="420"/>
    <x v="0"/>
  </r>
  <r>
    <x v="2"/>
    <x v="25"/>
    <s v="7232"/>
    <s v="Solbjerg Sogn"/>
    <x v="14"/>
    <x v="0"/>
  </r>
  <r>
    <x v="2"/>
    <x v="25"/>
    <s v="7234"/>
    <s v="Gierslev Sogn"/>
    <x v="421"/>
    <x v="0"/>
  </r>
  <r>
    <x v="2"/>
    <x v="25"/>
    <s v="7234"/>
    <s v="Gierslev Sogn"/>
    <x v="422"/>
    <x v="1"/>
  </r>
  <r>
    <x v="2"/>
    <x v="25"/>
    <s v="7235"/>
    <s v="Finderup Sogn"/>
    <x v="423"/>
    <x v="0"/>
  </r>
  <r>
    <x v="2"/>
    <x v="25"/>
    <s v="7238"/>
    <s v="Kirke Helsinge Sogn"/>
    <x v="424"/>
    <x v="0"/>
  </r>
  <r>
    <x v="2"/>
    <x v="25"/>
    <s v="7239"/>
    <s v="Drøsselbjerg Sogn"/>
    <x v="425"/>
    <x v="0"/>
  </r>
  <r>
    <x v="2"/>
    <x v="25"/>
    <s v="7253"/>
    <s v="Værslev Sogn"/>
    <x v="426"/>
    <x v="0"/>
  </r>
  <r>
    <x v="2"/>
    <x v="25"/>
    <s v="7254"/>
    <s v="Jorløse Sogn"/>
    <x v="427"/>
    <x v="0"/>
  </r>
  <r>
    <x v="2"/>
    <x v="25"/>
    <s v="7257"/>
    <s v="Sejerø Sogn"/>
    <x v="428"/>
    <x v="0"/>
  </r>
  <r>
    <x v="2"/>
    <x v="25"/>
    <s v="7268"/>
    <s v="Vor Frue Sogn"/>
    <x v="117"/>
    <x v="0"/>
  </r>
  <r>
    <x v="2"/>
    <x v="25"/>
    <s v="7269"/>
    <s v="Raklev Sogn"/>
    <x v="429"/>
    <x v="0"/>
  </r>
  <r>
    <x v="2"/>
    <x v="25"/>
    <s v="7270"/>
    <s v="Røsnæs Sogn"/>
    <x v="430"/>
    <x v="0"/>
  </r>
  <r>
    <x v="2"/>
    <x v="25"/>
    <s v="7271"/>
    <s v="Tømmerup Sogn"/>
    <x v="431"/>
    <x v="0"/>
  </r>
  <r>
    <x v="2"/>
    <x v="25"/>
    <s v="7271"/>
    <s v="Tømmerup Sogn"/>
    <x v="432"/>
    <x v="0"/>
  </r>
  <r>
    <x v="2"/>
    <x v="25"/>
    <s v="7272"/>
    <s v="Årby Sogn"/>
    <x v="433"/>
    <x v="0"/>
  </r>
  <r>
    <x v="2"/>
    <x v="25"/>
    <s v="7273"/>
    <s v="Rørby Sogn"/>
    <x v="434"/>
    <x v="0"/>
  </r>
  <r>
    <x v="2"/>
    <x v="25"/>
    <s v="9066"/>
    <s v="Nyvangs Sogn"/>
    <x v="435"/>
    <x v="0"/>
  </r>
  <r>
    <x v="2"/>
    <x v="25"/>
    <s v="9066"/>
    <s v="Nyvangs Sogn"/>
    <x v="436"/>
    <x v="0"/>
  </r>
  <r>
    <x v="2"/>
    <x v="25"/>
    <s v="9244"/>
    <s v="Reersø Sogn"/>
    <x v="437"/>
    <x v="0"/>
  </r>
  <r>
    <x v="2"/>
    <x v="25"/>
    <s v="9312"/>
    <s v="Viskinge-Avnsø Sogn"/>
    <x v="438"/>
    <x v="0"/>
  </r>
  <r>
    <x v="2"/>
    <x v="25"/>
    <s v="9312"/>
    <s v="Viskinge-Avnsø Sogn"/>
    <x v="439"/>
    <x v="0"/>
  </r>
  <r>
    <x v="2"/>
    <x v="25"/>
    <s v="9312"/>
    <s v="Viskinge-Avnsø Sogn"/>
    <x v="440"/>
    <x v="1"/>
  </r>
  <r>
    <x v="2"/>
    <x v="25"/>
    <s v="9315"/>
    <s v="Bregninge-Bjergsted-Alleshave Sogn"/>
    <x v="441"/>
    <x v="0"/>
  </r>
  <r>
    <x v="2"/>
    <x v="25"/>
    <s v="9315"/>
    <s v="Bregninge-Bjergsted-Alleshave Sogn"/>
    <x v="442"/>
    <x v="0"/>
  </r>
  <r>
    <x v="2"/>
    <x v="25"/>
    <s v="9315"/>
    <s v="Bregninge-Bjergsted-Alleshave Sogn"/>
    <x v="443"/>
    <x v="0"/>
  </r>
  <r>
    <x v="2"/>
    <x v="25"/>
    <s v="9323"/>
    <s v="Føllenslev-Særslev Sogn"/>
    <x v="444"/>
    <x v="0"/>
  </r>
  <r>
    <x v="2"/>
    <x v="25"/>
    <s v="9323"/>
    <s v="Føllenslev-Særslev Sogn"/>
    <x v="445"/>
    <x v="0"/>
  </r>
  <r>
    <x v="2"/>
    <x v="25"/>
    <s v="9323"/>
    <s v="Føllenslev-Særslev Sogn"/>
    <x v="446"/>
    <x v="0"/>
  </r>
  <r>
    <x v="2"/>
    <x v="25"/>
    <s v="9351"/>
    <s v="Gørlev-Bakkendrup Sogn"/>
    <x v="447"/>
    <x v="0"/>
  </r>
  <r>
    <x v="2"/>
    <x v="25"/>
    <s v="9351"/>
    <s v="Gørlev-Bakkendrup Sogn"/>
    <x v="448"/>
    <x v="0"/>
  </r>
  <r>
    <x v="2"/>
    <x v="26"/>
    <s v="7246"/>
    <s v="Orø Sogn"/>
    <x v="449"/>
    <x v="0"/>
  </r>
  <r>
    <x v="2"/>
    <x v="26"/>
    <s v="7274"/>
    <s v="Sankt Nikolai Sogn"/>
    <x v="450"/>
    <x v="0"/>
  </r>
  <r>
    <x v="2"/>
    <x v="26"/>
    <s v="7274"/>
    <s v="Sankt Nikolai Sogn"/>
    <x v="451"/>
    <x v="0"/>
  </r>
  <r>
    <x v="2"/>
    <x v="26"/>
    <s v="7274"/>
    <s v="Sankt Nikolai Sogn"/>
    <x v="452"/>
    <x v="2"/>
  </r>
  <r>
    <x v="2"/>
    <x v="26"/>
    <s v="7274"/>
    <s v="Sankt Nikolai Sogn"/>
    <x v="453"/>
    <x v="0"/>
  </r>
  <r>
    <x v="2"/>
    <x v="26"/>
    <s v="7275"/>
    <s v="Tveje Merløse Sogn"/>
    <x v="454"/>
    <x v="0"/>
  </r>
  <r>
    <x v="2"/>
    <x v="26"/>
    <s v="7275"/>
    <s v="Tveje Merløse Sogn"/>
    <x v="0"/>
    <x v="2"/>
  </r>
  <r>
    <x v="2"/>
    <x v="26"/>
    <s v="7275"/>
    <s v="Tveje Merløse Sogn"/>
    <x v="455"/>
    <x v="0"/>
  </r>
  <r>
    <x v="2"/>
    <x v="26"/>
    <s v="7278"/>
    <s v="Nørre Jernløse Sogn"/>
    <x v="456"/>
    <x v="0"/>
  </r>
  <r>
    <x v="2"/>
    <x v="26"/>
    <s v="7279"/>
    <s v="Kvanløse Sogn"/>
    <x v="457"/>
    <x v="0"/>
  </r>
  <r>
    <x v="2"/>
    <x v="26"/>
    <s v="7280"/>
    <s v="Sønder Jernløse Sogn"/>
    <x v="458"/>
    <x v="0"/>
  </r>
  <r>
    <x v="2"/>
    <x v="26"/>
    <s v="7281"/>
    <s v="Søstrup Sogn"/>
    <x v="459"/>
    <x v="0"/>
  </r>
  <r>
    <x v="2"/>
    <x v="26"/>
    <s v="7284"/>
    <s v="Tølløse Sogn"/>
    <x v="460"/>
    <x v="0"/>
  </r>
  <r>
    <x v="2"/>
    <x v="26"/>
    <s v="7286"/>
    <s v="Soderup Sogn"/>
    <x v="461"/>
    <x v="0"/>
  </r>
  <r>
    <x v="2"/>
    <x v="26"/>
    <s v="7287"/>
    <s v="Kirke Eskilstrup Sogn"/>
    <x v="462"/>
    <x v="0"/>
  </r>
  <r>
    <x v="2"/>
    <x v="26"/>
    <s v="7288"/>
    <s v="Store Tåstrup Sogn"/>
    <x v="463"/>
    <x v="0"/>
  </r>
  <r>
    <x v="2"/>
    <x v="26"/>
    <s v="7289"/>
    <s v="Ugerløse Sogn"/>
    <x v="464"/>
    <x v="0"/>
  </r>
  <r>
    <x v="2"/>
    <x v="26"/>
    <s v="7294"/>
    <s v="Hagested Sogn"/>
    <x v="465"/>
    <x v="0"/>
  </r>
  <r>
    <x v="2"/>
    <x v="26"/>
    <s v="7295"/>
    <s v="Gislinge Sogn"/>
    <x v="466"/>
    <x v="0"/>
  </r>
  <r>
    <x v="2"/>
    <x v="26"/>
    <s v="7296"/>
    <s v="Kundby Sogn"/>
    <x v="467"/>
    <x v="0"/>
  </r>
  <r>
    <x v="2"/>
    <x v="26"/>
    <s v="7299"/>
    <s v="Jyderup Sogn"/>
    <x v="468"/>
    <x v="0"/>
  </r>
  <r>
    <x v="2"/>
    <x v="26"/>
    <s v="7300"/>
    <s v="Holmstrup Sogn"/>
    <x v="469"/>
    <x v="0"/>
  </r>
  <r>
    <x v="2"/>
    <x v="26"/>
    <s v="9176"/>
    <s v="Hjembæk-Svinninge Sogn"/>
    <x v="470"/>
    <x v="0"/>
  </r>
  <r>
    <x v="2"/>
    <x v="26"/>
    <s v="9176"/>
    <s v="Hjembæk-Svinninge Sogn"/>
    <x v="471"/>
    <x v="0"/>
  </r>
  <r>
    <x v="2"/>
    <x v="26"/>
    <s v="9177"/>
    <s v="Butterup-Tuse Sogn"/>
    <x v="472"/>
    <x v="0"/>
  </r>
  <r>
    <x v="2"/>
    <x v="26"/>
    <s v="9177"/>
    <s v="Butterup-Tuse Sogn"/>
    <x v="473"/>
    <x v="0"/>
  </r>
  <r>
    <x v="2"/>
    <x v="26"/>
    <s v="9179"/>
    <s v="Skamstrup-Frydendal Sogn"/>
    <x v="474"/>
    <x v="0"/>
  </r>
  <r>
    <x v="2"/>
    <x v="26"/>
    <s v="9179"/>
    <s v="Skamstrup-Frydendal Sogn"/>
    <x v="475"/>
    <x v="0"/>
  </r>
  <r>
    <x v="2"/>
    <x v="26"/>
    <s v="9189"/>
    <s v="Stigs Bjergby-Mørkøv Sogn"/>
    <x v="476"/>
    <x v="0"/>
  </r>
  <r>
    <x v="2"/>
    <x v="26"/>
    <s v="9189"/>
    <s v="Stigs Bjergby-Mørkøv Sogn"/>
    <x v="477"/>
    <x v="0"/>
  </r>
  <r>
    <x v="2"/>
    <x v="26"/>
    <s v="9192"/>
    <s v="Tuse Næs Sogn"/>
    <x v="478"/>
    <x v="0"/>
  </r>
  <r>
    <x v="2"/>
    <x v="26"/>
    <s v="9192"/>
    <s v="Tuse Næs Sogn"/>
    <x v="479"/>
    <x v="0"/>
  </r>
  <r>
    <x v="2"/>
    <x v="26"/>
    <s v="9292"/>
    <s v="Vipperød Sogn"/>
    <x v="480"/>
    <x v="0"/>
  </r>
  <r>
    <x v="2"/>
    <x v="26"/>
    <s v="9292"/>
    <s v="Vipperød Sogn"/>
    <x v="481"/>
    <x v="0"/>
  </r>
  <r>
    <x v="2"/>
    <x v="26"/>
    <s v="9292"/>
    <s v="Vipperød Sogn"/>
    <x v="368"/>
    <x v="0"/>
  </r>
  <r>
    <x v="2"/>
    <x v="26"/>
    <s v="9325"/>
    <s v="Undløse-Søndersted Sogn"/>
    <x v="482"/>
    <x v="0"/>
  </r>
  <r>
    <x v="2"/>
    <x v="26"/>
    <s v="9325"/>
    <s v="Undløse-Søndersted Sogn"/>
    <x v="483"/>
    <x v="0"/>
  </r>
  <r>
    <x v="2"/>
    <x v="27"/>
    <s v="7255"/>
    <s v="Vallekilde Sogn"/>
    <x v="484"/>
    <x v="0"/>
  </r>
  <r>
    <x v="2"/>
    <x v="27"/>
    <s v="7255"/>
    <s v="Vallekilde Sogn"/>
    <x v="485"/>
    <x v="0"/>
  </r>
  <r>
    <x v="2"/>
    <x v="27"/>
    <s v="7256"/>
    <s v="Hørve Sogn"/>
    <x v="486"/>
    <x v="0"/>
  </r>
  <r>
    <x v="2"/>
    <x v="27"/>
    <s v="7258"/>
    <s v="Nykøbing Sj Sogn"/>
    <x v="487"/>
    <x v="0"/>
  </r>
  <r>
    <x v="2"/>
    <x v="27"/>
    <s v="7258"/>
    <s v="Nykøbing Sj Sogn"/>
    <x v="488"/>
    <x v="0"/>
  </r>
  <r>
    <x v="2"/>
    <x v="27"/>
    <s v="7258"/>
    <s v="Nykøbing Sj Sogn"/>
    <x v="489"/>
    <x v="1"/>
  </r>
  <r>
    <x v="2"/>
    <x v="27"/>
    <s v="7258"/>
    <s v="Nykøbing Sj Sogn"/>
    <x v="490"/>
    <x v="0"/>
  </r>
  <r>
    <x v="2"/>
    <x v="27"/>
    <s v="7259"/>
    <s v="Rørvig Sogn"/>
    <x v="491"/>
    <x v="0"/>
  </r>
  <r>
    <x v="2"/>
    <x v="27"/>
    <s v="7260"/>
    <s v="Odden Sogn"/>
    <x v="492"/>
    <x v="0"/>
  </r>
  <r>
    <x v="2"/>
    <x v="27"/>
    <s v="7261"/>
    <s v="Højby Sogn"/>
    <x v="493"/>
    <x v="0"/>
  </r>
  <r>
    <x v="2"/>
    <x v="27"/>
    <s v="7261"/>
    <s v="Højby Sogn"/>
    <x v="494"/>
    <x v="0"/>
  </r>
  <r>
    <x v="2"/>
    <x v="27"/>
    <s v="7262"/>
    <s v="Vig Sogn"/>
    <x v="495"/>
    <x v="0"/>
  </r>
  <r>
    <x v="2"/>
    <x v="27"/>
    <s v="7263"/>
    <s v="Nørre Asmindrup Sogn"/>
    <x v="496"/>
    <x v="0"/>
  </r>
  <r>
    <x v="2"/>
    <x v="27"/>
    <s v="7264"/>
    <s v="Egebjerg Sogn"/>
    <x v="497"/>
    <x v="0"/>
  </r>
  <r>
    <x v="2"/>
    <x v="27"/>
    <s v="7265"/>
    <s v="Grevinge Sogn"/>
    <x v="498"/>
    <x v="0"/>
  </r>
  <r>
    <x v="2"/>
    <x v="27"/>
    <s v="7266"/>
    <s v="Asnæs Sogn"/>
    <x v="499"/>
    <x v="0"/>
  </r>
  <r>
    <x v="2"/>
    <x v="27"/>
    <s v="7267"/>
    <s v="Fårevejle Sogn"/>
    <x v="500"/>
    <x v="1"/>
  </r>
  <r>
    <x v="2"/>
    <x v="27"/>
    <s v="7267"/>
    <s v="Fårevejle Sogn"/>
    <x v="501"/>
    <x v="0"/>
  </r>
  <r>
    <x v="2"/>
    <x v="27"/>
    <s v="9246"/>
    <s v="Lumsås Sogn"/>
    <x v="502"/>
    <x v="0"/>
  </r>
  <r>
    <x v="2"/>
    <x v="28"/>
    <s v="7227"/>
    <s v="Ruds Vedby Sogn"/>
    <x v="503"/>
    <x v="0"/>
  </r>
  <r>
    <x v="2"/>
    <x v="28"/>
    <s v="7245"/>
    <s v="Stenlille Sogn"/>
    <x v="504"/>
    <x v="0"/>
  </r>
  <r>
    <x v="2"/>
    <x v="28"/>
    <s v="7338"/>
    <s v="Munke Bjergby Sogn"/>
    <x v="505"/>
    <x v="0"/>
  </r>
  <r>
    <x v="2"/>
    <x v="28"/>
    <s v="7339"/>
    <s v="Bromme Sogn"/>
    <x v="506"/>
    <x v="0"/>
  </r>
  <r>
    <x v="2"/>
    <x v="28"/>
    <s v="7340"/>
    <s v="Gyrstinge Sogn"/>
    <x v="507"/>
    <x v="0"/>
  </r>
  <r>
    <x v="2"/>
    <x v="28"/>
    <s v="7341"/>
    <s v="Kirke Flinterup Sogn"/>
    <x v="508"/>
    <x v="0"/>
  </r>
  <r>
    <x v="2"/>
    <x v="28"/>
    <s v="7342"/>
    <s v="Stenmagle Sogn"/>
    <x v="509"/>
    <x v="0"/>
  </r>
  <r>
    <x v="2"/>
    <x v="28"/>
    <s v="7343"/>
    <s v="Bringstrup Sogn"/>
    <x v="510"/>
    <x v="0"/>
  </r>
  <r>
    <x v="2"/>
    <x v="28"/>
    <s v="7344"/>
    <s v="Sigersted Sogn"/>
    <x v="511"/>
    <x v="0"/>
  </r>
  <r>
    <x v="2"/>
    <x v="28"/>
    <s v="7363"/>
    <s v="Ringsted Sogn"/>
    <x v="512"/>
    <x v="0"/>
  </r>
  <r>
    <x v="2"/>
    <x v="28"/>
    <s v="7363"/>
    <s v="Ringsted Sogn"/>
    <x v="513"/>
    <x v="1"/>
  </r>
  <r>
    <x v="2"/>
    <x v="28"/>
    <s v="7363"/>
    <s v="Ringsted Sogn"/>
    <x v="514"/>
    <x v="0"/>
  </r>
  <r>
    <x v="2"/>
    <x v="28"/>
    <s v="7364"/>
    <s v="Benløse Sogn"/>
    <x v="515"/>
    <x v="0"/>
  </r>
  <r>
    <x v="2"/>
    <x v="28"/>
    <s v="7367"/>
    <s v="Jystrup Sogn"/>
    <x v="516"/>
    <x v="0"/>
  </r>
  <r>
    <x v="2"/>
    <x v="28"/>
    <s v="7368"/>
    <s v="Valsølille Sogn"/>
    <x v="517"/>
    <x v="0"/>
  </r>
  <r>
    <x v="2"/>
    <x v="28"/>
    <s v="7369"/>
    <s v="Vigersted Sogn"/>
    <x v="518"/>
    <x v="0"/>
  </r>
  <r>
    <x v="2"/>
    <x v="28"/>
    <s v="7370"/>
    <s v="Kværkeby Sogn"/>
    <x v="519"/>
    <x v="0"/>
  </r>
  <r>
    <x v="2"/>
    <x v="28"/>
    <s v="7371"/>
    <s v="Nordrupøster Sogn"/>
    <x v="520"/>
    <x v="0"/>
  </r>
  <r>
    <x v="2"/>
    <x v="28"/>
    <s v="7372"/>
    <s v="Farendløse Sogn"/>
    <x v="521"/>
    <x v="0"/>
  </r>
  <r>
    <x v="2"/>
    <x v="28"/>
    <s v="7373"/>
    <s v="Vetterslev Sogn"/>
    <x v="522"/>
    <x v="0"/>
  </r>
  <r>
    <x v="2"/>
    <x v="28"/>
    <s v="7374"/>
    <s v="Høm Sogn"/>
    <x v="523"/>
    <x v="0"/>
  </r>
  <r>
    <x v="2"/>
    <x v="28"/>
    <s v="7376"/>
    <s v="Sneslev Sogn"/>
    <x v="524"/>
    <x v="0"/>
  </r>
  <r>
    <x v="2"/>
    <x v="28"/>
    <s v="7378"/>
    <s v="Ørslev Sogn"/>
    <x v="420"/>
    <x v="0"/>
  </r>
  <r>
    <x v="2"/>
    <x v="28"/>
    <s v="7383"/>
    <s v="Sorø Sogn"/>
    <x v="525"/>
    <x v="0"/>
  </r>
  <r>
    <x v="2"/>
    <x v="28"/>
    <s v="7383"/>
    <s v="Sorø Sogn"/>
    <x v="526"/>
    <x v="0"/>
  </r>
  <r>
    <x v="2"/>
    <x v="28"/>
    <s v="7384"/>
    <s v="Pedersborg Sogn"/>
    <x v="527"/>
    <x v="0"/>
  </r>
  <r>
    <x v="2"/>
    <x v="28"/>
    <s v="7386"/>
    <s v="Lynge Sogn"/>
    <x v="323"/>
    <x v="0"/>
  </r>
  <r>
    <x v="2"/>
    <x v="28"/>
    <s v="7387"/>
    <s v="Vester Broby Sogn"/>
    <x v="528"/>
    <x v="0"/>
  </r>
  <r>
    <x v="2"/>
    <x v="28"/>
    <s v="7388"/>
    <s v="Alsted Sogn"/>
    <x v="529"/>
    <x v="0"/>
  </r>
  <r>
    <x v="2"/>
    <x v="28"/>
    <s v="7389"/>
    <s v="Fjenneslev Sogn"/>
    <x v="530"/>
    <x v="0"/>
  </r>
  <r>
    <x v="2"/>
    <x v="28"/>
    <s v="7390"/>
    <s v="Slaglille Sogn"/>
    <x v="531"/>
    <x v="0"/>
  </r>
  <r>
    <x v="2"/>
    <x v="28"/>
    <s v="7391"/>
    <s v="Bjernede Sogn"/>
    <x v="532"/>
    <x v="0"/>
  </r>
  <r>
    <x v="2"/>
    <x v="28"/>
    <s v="9322"/>
    <s v="Haraldsted-Allindemagle Sogn"/>
    <x v="533"/>
    <x v="0"/>
  </r>
  <r>
    <x v="2"/>
    <x v="28"/>
    <s v="9322"/>
    <s v="Haraldsted-Allindemagle Sogn"/>
    <x v="534"/>
    <x v="0"/>
  </r>
  <r>
    <x v="2"/>
    <x v="28"/>
    <s v="9353"/>
    <s v="Tersløse-Skellebjerg-Niløse Sogn"/>
    <x v="535"/>
    <x v="0"/>
  </r>
  <r>
    <x v="2"/>
    <x v="28"/>
    <s v="9353"/>
    <s v="Tersløse-Skellebjerg-Niløse Sogn"/>
    <x v="536"/>
    <x v="0"/>
  </r>
  <r>
    <x v="2"/>
    <x v="28"/>
    <s v="9353"/>
    <s v="Tersløse-Skellebjerg-Niløse Sogn"/>
    <x v="537"/>
    <x v="0"/>
  </r>
  <r>
    <x v="2"/>
    <x v="28"/>
    <s v="9353"/>
    <s v="Tersløse-Skellebjerg-Niløse Sogn"/>
    <x v="538"/>
    <x v="1"/>
  </r>
  <r>
    <x v="2"/>
    <x v="28"/>
    <s v="9353"/>
    <s v="Tersløse-Skellebjerg-Niløse Sogn"/>
    <x v="539"/>
    <x v="2"/>
  </r>
  <r>
    <x v="2"/>
    <x v="29"/>
    <s v="7375"/>
    <s v="Øde Førslev Sogn"/>
    <x v="540"/>
    <x v="0"/>
  </r>
  <r>
    <x v="2"/>
    <x v="29"/>
    <s v="7377"/>
    <s v="Terslev Sogn"/>
    <x v="541"/>
    <x v="0"/>
  </r>
  <r>
    <x v="2"/>
    <x v="29"/>
    <s v="7379"/>
    <s v="Haslev Sogn"/>
    <x v="542"/>
    <x v="0"/>
  </r>
  <r>
    <x v="2"/>
    <x v="29"/>
    <s v="7379"/>
    <s v="Haslev Sogn"/>
    <x v="543"/>
    <x v="0"/>
  </r>
  <r>
    <x v="2"/>
    <x v="29"/>
    <s v="7379"/>
    <s v="Haslev Sogn"/>
    <x v="544"/>
    <x v="2"/>
  </r>
  <r>
    <x v="2"/>
    <x v="29"/>
    <s v="7380"/>
    <s v="Freerslev Sogn"/>
    <x v="545"/>
    <x v="0"/>
  </r>
  <r>
    <x v="2"/>
    <x v="29"/>
    <s v="7381"/>
    <s v="Teestrup Sogn"/>
    <x v="546"/>
    <x v="0"/>
  </r>
  <r>
    <x v="2"/>
    <x v="29"/>
    <s v="7382"/>
    <s v="Bråby Sogn"/>
    <x v="547"/>
    <x v="0"/>
  </r>
  <r>
    <x v="2"/>
    <x v="29"/>
    <s v="7493"/>
    <s v="Lille Heddinge Sogn"/>
    <x v="548"/>
    <x v="0"/>
  </r>
  <r>
    <x v="2"/>
    <x v="29"/>
    <s v="7494"/>
    <s v="Havnelev Sogn"/>
    <x v="549"/>
    <x v="0"/>
  </r>
  <r>
    <x v="2"/>
    <x v="29"/>
    <s v="7495"/>
    <s v="Magleby Stevns Sogn"/>
    <x v="550"/>
    <x v="0"/>
  </r>
  <r>
    <x v="2"/>
    <x v="29"/>
    <s v="7496"/>
    <s v="Holtug Sogn"/>
    <x v="551"/>
    <x v="0"/>
  </r>
  <r>
    <x v="2"/>
    <x v="29"/>
    <s v="7497"/>
    <s v="Strøby Sogn"/>
    <x v="552"/>
    <x v="0"/>
  </r>
  <r>
    <x v="2"/>
    <x v="29"/>
    <s v="7498"/>
    <s v="Varpelev Sogn"/>
    <x v="553"/>
    <x v="0"/>
  </r>
  <r>
    <x v="2"/>
    <x v="29"/>
    <s v="7512"/>
    <s v="Vester Egede Sogn"/>
    <x v="554"/>
    <x v="0"/>
  </r>
  <r>
    <x v="2"/>
    <x v="29"/>
    <s v="7522"/>
    <s v="Faxe Sogn"/>
    <x v="555"/>
    <x v="0"/>
  </r>
  <r>
    <x v="2"/>
    <x v="29"/>
    <s v="7523"/>
    <s v="Hylleholt Sogn"/>
    <x v="556"/>
    <x v="0"/>
  </r>
  <r>
    <x v="2"/>
    <x v="29"/>
    <s v="7524"/>
    <s v="Spjellerup Sogn"/>
    <x v="557"/>
    <x v="0"/>
  </r>
  <r>
    <x v="2"/>
    <x v="29"/>
    <s v="7525"/>
    <s v="Smerup Sogn"/>
    <x v="558"/>
    <x v="0"/>
  </r>
  <r>
    <x v="2"/>
    <x v="29"/>
    <s v="7526"/>
    <s v="Hellested Sogn"/>
    <x v="559"/>
    <x v="0"/>
  </r>
  <r>
    <x v="2"/>
    <x v="29"/>
    <s v="7527"/>
    <s v="Vemmetofte Sogn"/>
    <x v="560"/>
    <x v="0"/>
  </r>
  <r>
    <x v="2"/>
    <x v="29"/>
    <s v="7528"/>
    <s v="Karise Sogn"/>
    <x v="561"/>
    <x v="0"/>
  </r>
  <r>
    <x v="2"/>
    <x v="29"/>
    <s v="7529"/>
    <s v="Alslev Sogn"/>
    <x v="562"/>
    <x v="0"/>
  </r>
  <r>
    <x v="2"/>
    <x v="29"/>
    <s v="7530"/>
    <s v="Sønder Dalby Sogn"/>
    <x v="563"/>
    <x v="0"/>
  </r>
  <r>
    <x v="2"/>
    <x v="29"/>
    <s v="7531"/>
    <s v="Tureby Sogn"/>
    <x v="564"/>
    <x v="0"/>
  </r>
  <r>
    <x v="2"/>
    <x v="29"/>
    <s v="7532"/>
    <s v="Ulse Sogn"/>
    <x v="565"/>
    <x v="0"/>
  </r>
  <r>
    <x v="2"/>
    <x v="29"/>
    <s v="7533"/>
    <s v="Øster Egede Sogn"/>
    <x v="566"/>
    <x v="0"/>
  </r>
  <r>
    <x v="2"/>
    <x v="29"/>
    <s v="7534"/>
    <s v="Kongsted Sogn"/>
    <x v="567"/>
    <x v="0"/>
  </r>
  <r>
    <x v="2"/>
    <x v="29"/>
    <s v="7535"/>
    <s v="Roholte Sogn"/>
    <x v="568"/>
    <x v="0"/>
  </r>
  <r>
    <x v="2"/>
    <x v="29"/>
    <s v="7542"/>
    <s v="Valløby Sogn"/>
    <x v="569"/>
    <x v="0"/>
  </r>
  <r>
    <x v="2"/>
    <x v="29"/>
    <s v="7543"/>
    <s v="Tårnby Sogn"/>
    <x v="101"/>
    <x v="0"/>
  </r>
  <r>
    <x v="2"/>
    <x v="29"/>
    <s v="7544"/>
    <s v="Hårlev Sogn"/>
    <x v="570"/>
    <x v="0"/>
  </r>
  <r>
    <x v="2"/>
    <x v="29"/>
    <s v="7545"/>
    <s v="Himlingøje Sogn"/>
    <x v="571"/>
    <x v="0"/>
  </r>
  <r>
    <x v="2"/>
    <x v="29"/>
    <s v="7546"/>
    <s v="Endeslev Sogn"/>
    <x v="572"/>
    <x v="0"/>
  </r>
  <r>
    <x v="2"/>
    <x v="29"/>
    <s v="7547"/>
    <s v="Vråby Sogn"/>
    <x v="573"/>
    <x v="0"/>
  </r>
  <r>
    <x v="2"/>
    <x v="29"/>
    <s v="7548"/>
    <s v="Store Heddinge Sogn"/>
    <x v="574"/>
    <x v="0"/>
  </r>
  <r>
    <x v="2"/>
    <x v="29"/>
    <s v="7549"/>
    <s v="Højerup Sogn"/>
    <x v="575"/>
    <x v="0"/>
  </r>
  <r>
    <x v="2"/>
    <x v="29"/>
    <s v="7550"/>
    <s v="Lyderslev Sogn"/>
    <x v="576"/>
    <x v="0"/>
  </r>
  <r>
    <x v="2"/>
    <x v="29"/>
    <s v="7550"/>
    <s v="Lyderslev Sogn"/>
    <x v="577"/>
    <x v="0"/>
  </r>
  <r>
    <x v="2"/>
    <x v="29"/>
    <s v="7551"/>
    <s v="Frøslev Sogn"/>
    <x v="578"/>
    <x v="0"/>
  </r>
  <r>
    <x v="2"/>
    <x v="30"/>
    <s v="7304"/>
    <s v="Karrebæk Sogn"/>
    <x v="579"/>
    <x v="0"/>
  </r>
  <r>
    <x v="2"/>
    <x v="30"/>
    <s v="7305"/>
    <s v="Fodby Sogn"/>
    <x v="580"/>
    <x v="0"/>
  </r>
  <r>
    <x v="2"/>
    <x v="30"/>
    <s v="7306"/>
    <s v="Herlufsholm Sogn"/>
    <x v="581"/>
    <x v="0"/>
  </r>
  <r>
    <x v="2"/>
    <x v="30"/>
    <s v="7307"/>
    <s v="Gunderslev Sogn"/>
    <x v="582"/>
    <x v="0"/>
  </r>
  <r>
    <x v="2"/>
    <x v="30"/>
    <s v="7317"/>
    <s v="Hårslev Sogn"/>
    <x v="583"/>
    <x v="0"/>
  </r>
  <r>
    <x v="2"/>
    <x v="30"/>
    <s v="7318"/>
    <s v="Ting Jellinge Sogn"/>
    <x v="584"/>
    <x v="0"/>
  </r>
  <r>
    <x v="2"/>
    <x v="30"/>
    <s v="7330"/>
    <s v="Krummerup Sogn"/>
    <x v="585"/>
    <x v="0"/>
  </r>
  <r>
    <x v="2"/>
    <x v="30"/>
    <s v="7332"/>
    <s v="Førslev Sogn"/>
    <x v="586"/>
    <x v="0"/>
  </r>
  <r>
    <x v="2"/>
    <x v="30"/>
    <s v="7333"/>
    <s v="Vallensved Sogn"/>
    <x v="587"/>
    <x v="0"/>
  </r>
  <r>
    <x v="2"/>
    <x v="30"/>
    <s v="7334"/>
    <s v="Marvede Sogn"/>
    <x v="588"/>
    <x v="0"/>
  </r>
  <r>
    <x v="2"/>
    <x v="30"/>
    <s v="7335"/>
    <s v="Hyllinge Sogn"/>
    <x v="589"/>
    <x v="0"/>
  </r>
  <r>
    <x v="2"/>
    <x v="30"/>
    <s v="7336"/>
    <s v="Kvislemark Sogn"/>
    <x v="590"/>
    <x v="0"/>
  </r>
  <r>
    <x v="2"/>
    <x v="30"/>
    <s v="7337"/>
    <s v="Fyrendal Sogn"/>
    <x v="591"/>
    <x v="0"/>
  </r>
  <r>
    <x v="2"/>
    <x v="30"/>
    <s v="7463"/>
    <s v="Tyvelse Sogn"/>
    <x v="592"/>
    <x v="0"/>
  </r>
  <r>
    <x v="2"/>
    <x v="30"/>
    <s v="7464"/>
    <s v="Sandby Sogn"/>
    <x v="593"/>
    <x v="0"/>
  </r>
  <r>
    <x v="2"/>
    <x v="30"/>
    <s v="7465"/>
    <s v="Vrangstrup Sogn"/>
    <x v="594"/>
    <x v="0"/>
  </r>
  <r>
    <x v="2"/>
    <x v="30"/>
    <s v="7472"/>
    <s v="Everdrup Sogn"/>
    <x v="595"/>
    <x v="1"/>
  </r>
  <r>
    <x v="2"/>
    <x v="30"/>
    <s v="7472"/>
    <s v="Everdrup Sogn"/>
    <x v="596"/>
    <x v="0"/>
  </r>
  <r>
    <x v="2"/>
    <x v="30"/>
    <s v="7473"/>
    <s v="Snesere Sogn"/>
    <x v="597"/>
    <x v="0"/>
  </r>
  <r>
    <x v="2"/>
    <x v="30"/>
    <s v="7499"/>
    <s v="Toksværd Sogn"/>
    <x v="598"/>
    <x v="0"/>
  </r>
  <r>
    <x v="2"/>
    <x v="30"/>
    <s v="7500"/>
    <s v="Rønnebæk Sogn"/>
    <x v="599"/>
    <x v="0"/>
  </r>
  <r>
    <x v="2"/>
    <x v="30"/>
    <s v="7501"/>
    <s v="Holme Olstrup Sogn"/>
    <x v="600"/>
    <x v="0"/>
  </r>
  <r>
    <x v="2"/>
    <x v="30"/>
    <s v="7502"/>
    <s v="Næstelsø Sogn"/>
    <x v="601"/>
    <x v="0"/>
  </r>
  <r>
    <x v="2"/>
    <x v="30"/>
    <s v="7503"/>
    <s v="Mogenstrup Sogn"/>
    <x v="602"/>
    <x v="0"/>
  </r>
  <r>
    <x v="2"/>
    <x v="30"/>
    <s v="7504"/>
    <s v="Vejlø Sogn"/>
    <x v="603"/>
    <x v="2"/>
  </r>
  <r>
    <x v="2"/>
    <x v="30"/>
    <s v="7504"/>
    <s v="Vejlø Sogn"/>
    <x v="604"/>
    <x v="0"/>
  </r>
  <r>
    <x v="2"/>
    <x v="30"/>
    <s v="7505"/>
    <s v="Vester Egesborg Sogn"/>
    <x v="605"/>
    <x v="0"/>
  </r>
  <r>
    <x v="2"/>
    <x v="30"/>
    <s v="7506"/>
    <s v="Hammer Sogn"/>
    <x v="606"/>
    <x v="0"/>
  </r>
  <r>
    <x v="2"/>
    <x v="30"/>
    <s v="7510"/>
    <s v="Sankt Peders Sogn"/>
    <x v="58"/>
    <x v="0"/>
  </r>
  <r>
    <x v="2"/>
    <x v="30"/>
    <s v="7510"/>
    <s v="Sankt Peders Sogn"/>
    <x v="607"/>
    <x v="0"/>
  </r>
  <r>
    <x v="2"/>
    <x v="30"/>
    <s v="7510"/>
    <s v="Sankt Peders Sogn"/>
    <x v="608"/>
    <x v="0"/>
  </r>
  <r>
    <x v="2"/>
    <x v="30"/>
    <s v="7511"/>
    <s v="Sankt Mortens Sogn"/>
    <x v="609"/>
    <x v="0"/>
  </r>
  <r>
    <x v="2"/>
    <x v="30"/>
    <s v="7511"/>
    <s v="Sankt Mortens Sogn"/>
    <x v="610"/>
    <x v="0"/>
  </r>
  <r>
    <x v="2"/>
    <x v="30"/>
    <s v="7513"/>
    <s v="Aversi Sogn"/>
    <x v="611"/>
    <x v="0"/>
  </r>
  <r>
    <x v="2"/>
    <x v="30"/>
    <s v="7514"/>
    <s v="Tybjerg Sogn"/>
    <x v="612"/>
    <x v="0"/>
  </r>
  <r>
    <x v="2"/>
    <x v="30"/>
    <s v="7515"/>
    <s v="Herlufmagle Sogn"/>
    <x v="613"/>
    <x v="0"/>
  </r>
  <r>
    <x v="2"/>
    <x v="30"/>
    <s v="7516"/>
    <s v="Fensmark Sogn"/>
    <x v="614"/>
    <x v="0"/>
  </r>
  <r>
    <x v="2"/>
    <x v="30"/>
    <s v="7517"/>
    <s v="Rislev Sogn"/>
    <x v="615"/>
    <x v="0"/>
  </r>
  <r>
    <x v="2"/>
    <x v="30"/>
    <s v="7518"/>
    <s v="Skelby Sogn"/>
    <x v="616"/>
    <x v="0"/>
  </r>
  <r>
    <x v="2"/>
    <x v="30"/>
    <s v="9111"/>
    <s v="Sankt Jørgens Sogn"/>
    <x v="617"/>
    <x v="0"/>
  </r>
  <r>
    <x v="2"/>
    <x v="30"/>
    <s v="9162"/>
    <s v="Holsted Sogn"/>
    <x v="618"/>
    <x v="0"/>
  </r>
  <r>
    <x v="2"/>
    <x v="30"/>
    <s v="9324"/>
    <s v="Fuglebjerg-Tystrup-Haldagerlille Sogn"/>
    <x v="619"/>
    <x v="0"/>
  </r>
  <r>
    <x v="2"/>
    <x v="30"/>
    <s v="9324"/>
    <s v="Fuglebjerg-Tystrup-Haldagerlille Sogn"/>
    <x v="620"/>
    <x v="0"/>
  </r>
  <r>
    <x v="2"/>
    <x v="30"/>
    <s v="9324"/>
    <s v="Fuglebjerg-Tystrup-Haldagerlille Sogn"/>
    <x v="621"/>
    <x v="0"/>
  </r>
  <r>
    <x v="2"/>
    <x v="30"/>
    <s v="9344"/>
    <s v="Glumsø-Bavelse-Næsby Sogn"/>
    <x v="622"/>
    <x v="0"/>
  </r>
  <r>
    <x v="2"/>
    <x v="30"/>
    <s v="9344"/>
    <s v="Glumsø-Bavelse-Næsby Sogn"/>
    <x v="623"/>
    <x v="0"/>
  </r>
  <r>
    <x v="2"/>
    <x v="30"/>
    <s v="9344"/>
    <s v="Glumsø-Bavelse-Næsby Sogn"/>
    <x v="624"/>
    <x v="0"/>
  </r>
  <r>
    <x v="2"/>
    <x v="31"/>
    <s v="7466"/>
    <s v="Præstø Sogn"/>
    <x v="625"/>
    <x v="0"/>
  </r>
  <r>
    <x v="2"/>
    <x v="31"/>
    <s v="7466"/>
    <s v="Præstø Sogn"/>
    <x v="626"/>
    <x v="0"/>
  </r>
  <r>
    <x v="2"/>
    <x v="31"/>
    <s v="7468"/>
    <s v="Skibinge Sogn"/>
    <x v="627"/>
    <x v="0"/>
  </r>
  <r>
    <x v="2"/>
    <x v="31"/>
    <s v="7469"/>
    <s v="Vordingborg Sogn"/>
    <x v="628"/>
    <x v="0"/>
  </r>
  <r>
    <x v="2"/>
    <x v="31"/>
    <s v="7469"/>
    <s v="Vordingborg Sogn"/>
    <x v="629"/>
    <x v="0"/>
  </r>
  <r>
    <x v="2"/>
    <x v="31"/>
    <s v="7470"/>
    <s v="Kastrup Sogn"/>
    <x v="102"/>
    <x v="0"/>
  </r>
  <r>
    <x v="2"/>
    <x v="31"/>
    <s v="7471"/>
    <s v="Jungshoved Sogn"/>
    <x v="630"/>
    <x v="0"/>
  </r>
  <r>
    <x v="2"/>
    <x v="31"/>
    <s v="7474"/>
    <s v="Bårse Sogn"/>
    <x v="631"/>
    <x v="0"/>
  </r>
  <r>
    <x v="2"/>
    <x v="31"/>
    <s v="7475"/>
    <s v="Beldringe Sogn"/>
    <x v="632"/>
    <x v="0"/>
  </r>
  <r>
    <x v="2"/>
    <x v="31"/>
    <s v="7476"/>
    <s v="Allerslev Sogn"/>
    <x v="382"/>
    <x v="0"/>
  </r>
  <r>
    <x v="2"/>
    <x v="31"/>
    <s v="7477"/>
    <s v="Udby Sogn"/>
    <x v="478"/>
    <x v="0"/>
  </r>
  <r>
    <x v="2"/>
    <x v="31"/>
    <s v="7478"/>
    <s v="Ørslev Sogn"/>
    <x v="420"/>
    <x v="0"/>
  </r>
  <r>
    <x v="2"/>
    <x v="31"/>
    <s v="7479"/>
    <s v="Øster Egesborg Sogn"/>
    <x v="633"/>
    <x v="0"/>
  </r>
  <r>
    <x v="2"/>
    <x v="31"/>
    <s v="7480"/>
    <s v="Mern Sogn"/>
    <x v="634"/>
    <x v="0"/>
  </r>
  <r>
    <x v="2"/>
    <x v="31"/>
    <s v="7481"/>
    <s v="Kalvehave Sogn"/>
    <x v="635"/>
    <x v="0"/>
  </r>
  <r>
    <x v="2"/>
    <x v="31"/>
    <s v="7483"/>
    <s v="Stege Sogn"/>
    <x v="636"/>
    <x v="0"/>
  </r>
  <r>
    <x v="2"/>
    <x v="31"/>
    <s v="7483"/>
    <s v="Stege Sogn"/>
    <x v="637"/>
    <x v="0"/>
  </r>
  <r>
    <x v="2"/>
    <x v="31"/>
    <s v="7485"/>
    <s v="Nyord Sogn"/>
    <x v="638"/>
    <x v="0"/>
  </r>
  <r>
    <x v="2"/>
    <x v="31"/>
    <s v="7486"/>
    <s v="Keldby Sogn"/>
    <x v="639"/>
    <x v="0"/>
  </r>
  <r>
    <x v="2"/>
    <x v="31"/>
    <s v="7487"/>
    <s v="Elmelunde Sogn"/>
    <x v="640"/>
    <x v="0"/>
  </r>
  <r>
    <x v="2"/>
    <x v="31"/>
    <s v="7488"/>
    <s v="Borre Sogn"/>
    <x v="641"/>
    <x v="0"/>
  </r>
  <r>
    <x v="2"/>
    <x v="31"/>
    <s v="7489"/>
    <s v="Magleby Sogn"/>
    <x v="550"/>
    <x v="0"/>
  </r>
  <r>
    <x v="2"/>
    <x v="31"/>
    <s v="7490"/>
    <s v="Damsholte Sogn"/>
    <x v="642"/>
    <x v="0"/>
  </r>
  <r>
    <x v="2"/>
    <x v="31"/>
    <s v="7491"/>
    <s v="Fanefjord Sogn"/>
    <x v="643"/>
    <x v="0"/>
  </r>
  <r>
    <x v="2"/>
    <x v="31"/>
    <s v="7507"/>
    <s v="Lundby Sogn"/>
    <x v="644"/>
    <x v="0"/>
  </r>
  <r>
    <x v="2"/>
    <x v="31"/>
    <s v="7508"/>
    <s v="Køng Sogn"/>
    <x v="645"/>
    <x v="0"/>
  </r>
  <r>
    <x v="2"/>
    <x v="31"/>
    <s v="7509"/>
    <s v="Sværdborg Sogn"/>
    <x v="646"/>
    <x v="0"/>
  </r>
  <r>
    <x v="2"/>
    <x v="31"/>
    <s v="7521"/>
    <s v="Bogø Sogn"/>
    <x v="647"/>
    <x v="0"/>
  </r>
  <r>
    <x v="2"/>
    <x v="31"/>
    <s v="9109"/>
    <s v="Stensby Sogn"/>
    <x v="648"/>
    <x v="0"/>
  </r>
  <r>
    <x v="2"/>
    <x v="31"/>
    <s v="9247"/>
    <s v="Svinø Sogn"/>
    <x v="649"/>
    <x v="0"/>
  </r>
  <r>
    <x v="2"/>
    <x v="32"/>
    <s v="7194"/>
    <s v="Greve Sogn"/>
    <x v="650"/>
    <x v="1"/>
  </r>
  <r>
    <x v="2"/>
    <x v="32"/>
    <s v="7194"/>
    <s v="Greve Sogn"/>
    <x v="651"/>
    <x v="0"/>
  </r>
  <r>
    <x v="2"/>
    <x v="32"/>
    <s v="7195"/>
    <s v="Hundige-Kildebrønde Sogn"/>
    <x v="652"/>
    <x v="0"/>
  </r>
  <r>
    <x v="2"/>
    <x v="32"/>
    <s v="7195"/>
    <s v="Hundige-Kildebrønde Sogn"/>
    <x v="653"/>
    <x v="1"/>
  </r>
  <r>
    <x v="2"/>
    <x v="32"/>
    <s v="7199"/>
    <s v="Tune Sogn"/>
    <x v="654"/>
    <x v="0"/>
  </r>
  <r>
    <x v="2"/>
    <x v="32"/>
    <s v="7200"/>
    <s v="Karlslunde Sogn"/>
    <x v="655"/>
    <x v="0"/>
  </r>
  <r>
    <x v="2"/>
    <x v="32"/>
    <s v="7200"/>
    <s v="Karlslunde Sogn"/>
    <x v="656"/>
    <x v="2"/>
  </r>
  <r>
    <x v="2"/>
    <x v="32"/>
    <s v="7201"/>
    <s v="Karlstrup Sogn"/>
    <x v="657"/>
    <x v="0"/>
  </r>
  <r>
    <x v="2"/>
    <x v="32"/>
    <s v="7202"/>
    <s v="Havdrup Sogn"/>
    <x v="658"/>
    <x v="0"/>
  </r>
  <r>
    <x v="2"/>
    <x v="32"/>
    <s v="7202"/>
    <s v="Havdrup Sogn"/>
    <x v="659"/>
    <x v="0"/>
  </r>
  <r>
    <x v="2"/>
    <x v="32"/>
    <s v="7203"/>
    <s v="Solrød Sogn"/>
    <x v="660"/>
    <x v="0"/>
  </r>
  <r>
    <x v="2"/>
    <x v="32"/>
    <s v="7203"/>
    <s v="Solrød Sogn"/>
    <x v="661"/>
    <x v="1"/>
  </r>
  <r>
    <x v="2"/>
    <x v="32"/>
    <s v="7204"/>
    <s v="Jersie Sogn"/>
    <x v="662"/>
    <x v="0"/>
  </r>
  <r>
    <x v="2"/>
    <x v="32"/>
    <s v="7204"/>
    <s v="Jersie Sogn"/>
    <x v="663"/>
    <x v="0"/>
  </r>
  <r>
    <x v="2"/>
    <x v="32"/>
    <s v="7205"/>
    <s v="Kirke Skensved Sogn"/>
    <x v="664"/>
    <x v="0"/>
  </r>
  <r>
    <x v="2"/>
    <x v="32"/>
    <s v="9105"/>
    <s v="Karlslunde Strandsogn"/>
    <x v="656"/>
    <x v="0"/>
  </r>
  <r>
    <x v="2"/>
    <x v="32"/>
    <s v="9108"/>
    <s v="Mosede Sogn"/>
    <x v="665"/>
    <x v="0"/>
  </r>
  <r>
    <x v="2"/>
    <x v="33"/>
    <s v="7233"/>
    <s v="Havrebjerg Sogn"/>
    <x v="666"/>
    <x v="2"/>
  </r>
  <r>
    <x v="2"/>
    <x v="33"/>
    <s v="7233"/>
    <s v="Havrebjerg Sogn"/>
    <x v="667"/>
    <x v="0"/>
  </r>
  <r>
    <x v="2"/>
    <x v="33"/>
    <s v="7308"/>
    <s v="Skælskør Sogn"/>
    <x v="30"/>
    <x v="0"/>
  </r>
  <r>
    <x v="2"/>
    <x v="33"/>
    <s v="7309"/>
    <s v="Eggeslevmagle Sogn"/>
    <x v="668"/>
    <x v="0"/>
  </r>
  <r>
    <x v="2"/>
    <x v="33"/>
    <s v="7310"/>
    <s v="Høve Sogn"/>
    <x v="669"/>
    <x v="2"/>
  </r>
  <r>
    <x v="2"/>
    <x v="33"/>
    <s v="7310"/>
    <s v="Høve Sogn"/>
    <x v="670"/>
    <x v="0"/>
  </r>
  <r>
    <x v="2"/>
    <x v="33"/>
    <s v="7311"/>
    <s v="Flakkebjerg Sogn"/>
    <x v="671"/>
    <x v="0"/>
  </r>
  <r>
    <x v="2"/>
    <x v="33"/>
    <s v="7312"/>
    <s v="Skørpinge Sogn"/>
    <x v="672"/>
    <x v="0"/>
  </r>
  <r>
    <x v="2"/>
    <x v="33"/>
    <s v="7313"/>
    <s v="Fårdrup Sogn"/>
    <x v="673"/>
    <x v="0"/>
  </r>
  <r>
    <x v="2"/>
    <x v="33"/>
    <s v="7314"/>
    <s v="Sørbymagle Sogn"/>
    <x v="674"/>
    <x v="0"/>
  </r>
  <r>
    <x v="2"/>
    <x v="33"/>
    <s v="7315"/>
    <s v="Kirkerup Sogn"/>
    <x v="369"/>
    <x v="0"/>
  </r>
  <r>
    <x v="2"/>
    <x v="33"/>
    <s v="7316"/>
    <s v="Gimlinge Sogn"/>
    <x v="675"/>
    <x v="0"/>
  </r>
  <r>
    <x v="2"/>
    <x v="33"/>
    <s v="7319"/>
    <s v="Hyllested Sogn"/>
    <x v="676"/>
    <x v="0"/>
  </r>
  <r>
    <x v="2"/>
    <x v="33"/>
    <s v="7320"/>
    <s v="Venslev Sogn"/>
    <x v="677"/>
    <x v="0"/>
  </r>
  <r>
    <x v="2"/>
    <x v="33"/>
    <s v="7321"/>
    <s v="Holsteinborg Sogn"/>
    <x v="678"/>
    <x v="0"/>
  </r>
  <r>
    <x v="2"/>
    <x v="33"/>
    <s v="7322"/>
    <s v="Ørslev Sogn"/>
    <x v="420"/>
    <x v="0"/>
  </r>
  <r>
    <x v="2"/>
    <x v="33"/>
    <s v="7323"/>
    <s v="Sønder Bjerge Sogn"/>
    <x v="679"/>
    <x v="0"/>
  </r>
  <r>
    <x v="2"/>
    <x v="33"/>
    <s v="7324"/>
    <s v="Tjæreby Sogn"/>
    <x v="309"/>
    <x v="0"/>
  </r>
  <r>
    <x v="2"/>
    <x v="33"/>
    <s v="7325"/>
    <s v="Magleby Sogn"/>
    <x v="550"/>
    <x v="0"/>
  </r>
  <r>
    <x v="2"/>
    <x v="33"/>
    <s v="7326"/>
    <s v="Agersø Sogn"/>
    <x v="680"/>
    <x v="0"/>
  </r>
  <r>
    <x v="2"/>
    <x v="33"/>
    <s v="7327"/>
    <s v="Omø Sogn"/>
    <x v="681"/>
    <x v="0"/>
  </r>
  <r>
    <x v="2"/>
    <x v="33"/>
    <s v="7345"/>
    <s v="Sankt Mikkels Sogn"/>
    <x v="682"/>
    <x v="0"/>
  </r>
  <r>
    <x v="2"/>
    <x v="33"/>
    <s v="7345"/>
    <s v="Sankt Mikkels Sogn"/>
    <x v="683"/>
    <x v="0"/>
  </r>
  <r>
    <x v="2"/>
    <x v="33"/>
    <s v="7346"/>
    <s v="Hejninge Sogn"/>
    <x v="684"/>
    <x v="0"/>
  </r>
  <r>
    <x v="2"/>
    <x v="33"/>
    <s v="7347"/>
    <s v="Sankt Peders Sogn"/>
    <x v="58"/>
    <x v="0"/>
  </r>
  <r>
    <x v="2"/>
    <x v="33"/>
    <s v="7347"/>
    <s v="Sankt Peders Sogn"/>
    <x v="110"/>
    <x v="1"/>
  </r>
  <r>
    <x v="2"/>
    <x v="33"/>
    <s v="7347"/>
    <s v="Sankt Peders Sogn"/>
    <x v="685"/>
    <x v="0"/>
  </r>
  <r>
    <x v="2"/>
    <x v="33"/>
    <s v="7348"/>
    <s v="Sankt Povls Sogn"/>
    <x v="57"/>
    <x v="0"/>
  </r>
  <r>
    <x v="2"/>
    <x v="33"/>
    <s v="7348"/>
    <s v="Sankt Povls Sogn"/>
    <x v="686"/>
    <x v="0"/>
  </r>
  <r>
    <x v="2"/>
    <x v="33"/>
    <s v="7349"/>
    <s v="Tårnborg Sogn"/>
    <x v="687"/>
    <x v="0"/>
  </r>
  <r>
    <x v="2"/>
    <x v="33"/>
    <s v="7350"/>
    <s v="Sønderup Sogn"/>
    <x v="688"/>
    <x v="0"/>
  </r>
  <r>
    <x v="2"/>
    <x v="33"/>
    <s v="7351"/>
    <s v="Nordrupvester Sogn"/>
    <x v="520"/>
    <x v="0"/>
  </r>
  <r>
    <x v="2"/>
    <x v="33"/>
    <s v="7352"/>
    <s v="Gudum Sogn"/>
    <x v="689"/>
    <x v="0"/>
  </r>
  <r>
    <x v="2"/>
    <x v="33"/>
    <s v="7353"/>
    <s v="Sorterup Sogn"/>
    <x v="690"/>
    <x v="0"/>
  </r>
  <r>
    <x v="2"/>
    <x v="33"/>
    <s v="7354"/>
    <s v="Ottestrup Sogn"/>
    <x v="691"/>
    <x v="0"/>
  </r>
  <r>
    <x v="2"/>
    <x v="33"/>
    <s v="7355"/>
    <s v="Slots Bjergby Sogn"/>
    <x v="692"/>
    <x v="0"/>
  </r>
  <r>
    <x v="2"/>
    <x v="33"/>
    <s v="7356"/>
    <s v="Sludstrup Sogn"/>
    <x v="693"/>
    <x v="0"/>
  </r>
  <r>
    <x v="2"/>
    <x v="33"/>
    <s v="7357"/>
    <s v="Lundforlund Sogn"/>
    <x v="694"/>
    <x v="0"/>
  </r>
  <r>
    <x v="2"/>
    <x v="33"/>
    <s v="7358"/>
    <s v="Gerlev Sogn"/>
    <x v="236"/>
    <x v="0"/>
  </r>
  <r>
    <x v="2"/>
    <x v="33"/>
    <s v="7359"/>
    <s v="Kirke Stillinge Sogn"/>
    <x v="695"/>
    <x v="0"/>
  </r>
  <r>
    <x v="2"/>
    <x v="33"/>
    <s v="7360"/>
    <s v="Vemmelev Sogn"/>
    <x v="696"/>
    <x v="0"/>
  </r>
  <r>
    <x v="2"/>
    <x v="33"/>
    <s v="7361"/>
    <s v="Hemmeshøj Sogn"/>
    <x v="697"/>
    <x v="0"/>
  </r>
  <r>
    <x v="2"/>
    <x v="33"/>
    <s v="7362"/>
    <s v="Boeslunde Sogn"/>
    <x v="698"/>
    <x v="0"/>
  </r>
  <r>
    <x v="2"/>
    <x v="33"/>
    <s v="7385"/>
    <s v="Kindertofte Sogn"/>
    <x v="699"/>
    <x v="0"/>
  </r>
  <r>
    <x v="2"/>
    <x v="33"/>
    <s v="9070"/>
    <s v="Halskov Sogn"/>
    <x v="700"/>
    <x v="0"/>
  </r>
  <r>
    <x v="2"/>
    <x v="33"/>
    <s v="9144"/>
    <s v="Nørrevang Sogn"/>
    <x v="701"/>
    <x v="0"/>
  </r>
  <r>
    <x v="2"/>
    <x v="33"/>
    <s v="9160"/>
    <s v="Antvorskov Sogn"/>
    <x v="702"/>
    <x v="0"/>
  </r>
  <r>
    <x v="2"/>
    <x v="33"/>
    <s v="9160"/>
    <s v="Antvorskov Sogn"/>
    <x v="703"/>
    <x v="0"/>
  </r>
  <r>
    <x v="3"/>
    <x v="34"/>
    <s v="7626"/>
    <s v="Halsted Sogn"/>
    <x v="704"/>
    <x v="0"/>
  </r>
  <r>
    <x v="3"/>
    <x v="34"/>
    <s v="7627"/>
    <s v="Avnede Sogn"/>
    <x v="705"/>
    <x v="0"/>
  </r>
  <r>
    <x v="3"/>
    <x v="34"/>
    <s v="7628"/>
    <s v="Vestenskov Sogn"/>
    <x v="706"/>
    <x v="0"/>
  </r>
  <r>
    <x v="3"/>
    <x v="34"/>
    <s v="7629"/>
    <s v="Kappel Sogn"/>
    <x v="707"/>
    <x v="0"/>
  </r>
  <r>
    <x v="3"/>
    <x v="34"/>
    <s v="7630"/>
    <s v="Dannemare Sogn"/>
    <x v="708"/>
    <x v="0"/>
  </r>
  <r>
    <x v="3"/>
    <x v="34"/>
    <s v="7631"/>
    <s v="Tillitse Sogn"/>
    <x v="709"/>
    <x v="0"/>
  </r>
  <r>
    <x v="3"/>
    <x v="34"/>
    <s v="7632"/>
    <s v="Gloslunde Sogn"/>
    <x v="710"/>
    <x v="0"/>
  </r>
  <r>
    <x v="3"/>
    <x v="34"/>
    <s v="7633"/>
    <s v="Græshave Sogn"/>
    <x v="711"/>
    <x v="0"/>
  </r>
  <r>
    <x v="3"/>
    <x v="34"/>
    <s v="7634"/>
    <s v="Landet Sogn"/>
    <x v="712"/>
    <x v="0"/>
  </r>
  <r>
    <x v="3"/>
    <x v="34"/>
    <s v="7635"/>
    <s v="Ryde Sogn"/>
    <x v="713"/>
    <x v="0"/>
  </r>
  <r>
    <x v="3"/>
    <x v="34"/>
    <s v="7640"/>
    <s v="Vesterborg Sogn"/>
    <x v="714"/>
    <x v="0"/>
  </r>
  <r>
    <x v="3"/>
    <x v="34"/>
    <s v="7641"/>
    <s v="Birket Sogn"/>
    <x v="715"/>
    <x v="0"/>
  </r>
  <r>
    <x v="3"/>
    <x v="34"/>
    <s v="7667"/>
    <s v="Fejø Sogn"/>
    <x v="716"/>
    <x v="0"/>
  </r>
  <r>
    <x v="3"/>
    <x v="34"/>
    <s v="7668"/>
    <s v="Femø Sogn"/>
    <x v="717"/>
    <x v="0"/>
  </r>
  <r>
    <x v="3"/>
    <x v="34"/>
    <s v="7670"/>
    <s v="Sankt Nikolai Sogn"/>
    <x v="718"/>
    <x v="0"/>
  </r>
  <r>
    <x v="3"/>
    <x v="34"/>
    <s v="7670"/>
    <s v="Sankt Nikolai Sogn"/>
    <x v="453"/>
    <x v="0"/>
  </r>
  <r>
    <x v="3"/>
    <x v="34"/>
    <s v="7671"/>
    <s v="Branderslev Sogn"/>
    <x v="719"/>
    <x v="0"/>
  </r>
  <r>
    <x v="3"/>
    <x v="34"/>
    <s v="7672"/>
    <s v="Stormarks Sogn"/>
    <x v="720"/>
    <x v="0"/>
  </r>
  <r>
    <x v="3"/>
    <x v="34"/>
    <s v="7673"/>
    <s v="Arninge Sogn"/>
    <x v="721"/>
    <x v="0"/>
  </r>
  <r>
    <x v="3"/>
    <x v="34"/>
    <s v="7674"/>
    <s v="Sandby Sogn"/>
    <x v="593"/>
    <x v="0"/>
  </r>
  <r>
    <x v="3"/>
    <x v="34"/>
    <s v="9194"/>
    <s v="Utterslev-Herredskirke-Løjtofte Sogn"/>
    <x v="71"/>
    <x v="0"/>
  </r>
  <r>
    <x v="3"/>
    <x v="34"/>
    <s v="9194"/>
    <s v="Utterslev-Herredskirke-Løjtofte Sogn"/>
    <x v="722"/>
    <x v="0"/>
  </r>
  <r>
    <x v="3"/>
    <x v="34"/>
    <s v="9194"/>
    <s v="Utterslev-Herredskirke-Løjtofte Sogn"/>
    <x v="723"/>
    <x v="0"/>
  </r>
  <r>
    <x v="3"/>
    <x v="34"/>
    <s v="9195"/>
    <s v="Søllested-Skovlænge-Gurreby Sogn"/>
    <x v="724"/>
    <x v="0"/>
  </r>
  <r>
    <x v="3"/>
    <x v="34"/>
    <s v="9195"/>
    <s v="Søllested-Skovlænge-Gurreby Sogn"/>
    <x v="725"/>
    <x v="0"/>
  </r>
  <r>
    <x v="3"/>
    <x v="34"/>
    <s v="9195"/>
    <s v="Søllested-Skovlænge-Gurreby Sogn"/>
    <x v="726"/>
    <x v="0"/>
  </r>
  <r>
    <x v="3"/>
    <x v="34"/>
    <s v="9248"/>
    <s v="Langø Sogn"/>
    <x v="727"/>
    <x v="0"/>
  </r>
  <r>
    <x v="3"/>
    <x v="34"/>
    <s v="9321"/>
    <s v="Købelev-Vindeby Sogn"/>
    <x v="728"/>
    <x v="0"/>
  </r>
  <r>
    <x v="3"/>
    <x v="34"/>
    <s v="9321"/>
    <s v="Købelev-Vindeby Sogn"/>
    <x v="729"/>
    <x v="0"/>
  </r>
  <r>
    <x v="3"/>
    <x v="34"/>
    <s v="9343"/>
    <s v="Horslunde Sogn"/>
    <x v="730"/>
    <x v="0"/>
  </r>
  <r>
    <x v="3"/>
    <x v="34"/>
    <s v="9343"/>
    <s v="Horslunde Sogn"/>
    <x v="731"/>
    <x v="0"/>
  </r>
  <r>
    <x v="3"/>
    <x v="34"/>
    <s v="9343"/>
    <s v="Horslunde Sogn"/>
    <x v="732"/>
    <x v="0"/>
  </r>
  <r>
    <x v="3"/>
    <x v="35"/>
    <s v="7639"/>
    <s v="Stokkemarke Sogn"/>
    <x v="733"/>
    <x v="0"/>
  </r>
  <r>
    <x v="3"/>
    <x v="35"/>
    <s v="7646"/>
    <s v="Hunseby Sogn"/>
    <x v="734"/>
    <x v="0"/>
  </r>
  <r>
    <x v="3"/>
    <x v="35"/>
    <s v="7648"/>
    <s v="Maribo Domsogn"/>
    <x v="735"/>
    <x v="0"/>
  </r>
  <r>
    <x v="3"/>
    <x v="35"/>
    <s v="7649"/>
    <s v="Hillested Sogn"/>
    <x v="736"/>
    <x v="0"/>
  </r>
  <r>
    <x v="3"/>
    <x v="35"/>
    <s v="7650"/>
    <s v="Skørringe Sogn"/>
    <x v="737"/>
    <x v="0"/>
  </r>
  <r>
    <x v="3"/>
    <x v="35"/>
    <s v="7659"/>
    <s v="Holeby Sogn"/>
    <x v="738"/>
    <x v="0"/>
  </r>
  <r>
    <x v="3"/>
    <x v="35"/>
    <s v="7660"/>
    <s v="Bursø Sogn"/>
    <x v="739"/>
    <x v="0"/>
  </r>
  <r>
    <x v="3"/>
    <x v="35"/>
    <s v="7663"/>
    <s v="Tirsted Sogn"/>
    <x v="740"/>
    <x v="0"/>
  </r>
  <r>
    <x v="3"/>
    <x v="35"/>
    <s v="7664"/>
    <s v="Vejleby Sogn"/>
    <x v="741"/>
    <x v="0"/>
  </r>
  <r>
    <x v="3"/>
    <x v="35"/>
    <s v="7665"/>
    <s v="Østofte Sogn"/>
    <x v="742"/>
    <x v="0"/>
  </r>
  <r>
    <x v="3"/>
    <x v="35"/>
    <s v="7666"/>
    <s v="Bandholm Sogn"/>
    <x v="743"/>
    <x v="0"/>
  </r>
  <r>
    <x v="3"/>
    <x v="35"/>
    <s v="7669"/>
    <s v="Askø Sogn"/>
    <x v="744"/>
    <x v="0"/>
  </r>
  <r>
    <x v="3"/>
    <x v="35"/>
    <s v="9082"/>
    <s v="Rødbyhavn Sogn"/>
    <x v="745"/>
    <x v="0"/>
  </r>
  <r>
    <x v="3"/>
    <x v="35"/>
    <s v="9331"/>
    <s v="Errindlev-Olstrup-Tågerup Sogn"/>
    <x v="746"/>
    <x v="0"/>
  </r>
  <r>
    <x v="3"/>
    <x v="35"/>
    <s v="9331"/>
    <s v="Errindlev-Olstrup-Tågerup Sogn"/>
    <x v="747"/>
    <x v="0"/>
  </r>
  <r>
    <x v="3"/>
    <x v="35"/>
    <s v="9331"/>
    <s v="Errindlev-Olstrup-Tågerup Sogn"/>
    <x v="748"/>
    <x v="0"/>
  </r>
  <r>
    <x v="3"/>
    <x v="35"/>
    <s v="9339"/>
    <s v="Rødby Sogn"/>
    <x v="749"/>
    <x v="0"/>
  </r>
  <r>
    <x v="3"/>
    <x v="35"/>
    <s v="9339"/>
    <s v="Rødby Sogn"/>
    <x v="750"/>
    <x v="0"/>
  </r>
  <r>
    <x v="3"/>
    <x v="35"/>
    <s v="9339"/>
    <s v="Rødby Sogn"/>
    <x v="751"/>
    <x v="0"/>
  </r>
  <r>
    <x v="3"/>
    <x v="35"/>
    <s v="9339"/>
    <s v="Rødby Sogn"/>
    <x v="752"/>
    <x v="0"/>
  </r>
  <r>
    <x v="3"/>
    <x v="35"/>
    <s v="9361"/>
    <s v="Fuglse-Krønge-Torslunde Sogn"/>
    <x v="753"/>
    <x v="0"/>
  </r>
  <r>
    <x v="3"/>
    <x v="35"/>
    <s v="9361"/>
    <s v="Fuglse-Krønge-Torslunde Sogn"/>
    <x v="754"/>
    <x v="0"/>
  </r>
  <r>
    <x v="3"/>
    <x v="35"/>
    <s v="9361"/>
    <s v="Fuglse-Krønge-Torslunde Sogn"/>
    <x v="334"/>
    <x v="0"/>
  </r>
  <r>
    <x v="3"/>
    <x v="36"/>
    <s v="7593"/>
    <s v="Vigsnæs Sogn"/>
    <x v="755"/>
    <x v="0"/>
  </r>
  <r>
    <x v="3"/>
    <x v="36"/>
    <s v="7594"/>
    <s v="Majbølle Sogn"/>
    <x v="756"/>
    <x v="0"/>
  </r>
  <r>
    <x v="3"/>
    <x v="36"/>
    <s v="7596"/>
    <s v="Toreby Sogn"/>
    <x v="757"/>
    <x v="0"/>
  </r>
  <r>
    <x v="3"/>
    <x v="36"/>
    <s v="7596"/>
    <s v="Toreby Sogn"/>
    <x v="93"/>
    <x v="1"/>
  </r>
  <r>
    <x v="3"/>
    <x v="36"/>
    <s v="7599"/>
    <s v="Døllefjelde Sogn"/>
    <x v="758"/>
    <x v="0"/>
  </r>
  <r>
    <x v="3"/>
    <x v="36"/>
    <s v="7600"/>
    <s v="Musse Sogn"/>
    <x v="759"/>
    <x v="0"/>
  </r>
  <r>
    <x v="3"/>
    <x v="36"/>
    <s v="7601"/>
    <s v="Herritslev Sogn"/>
    <x v="760"/>
    <x v="0"/>
  </r>
  <r>
    <x v="3"/>
    <x v="36"/>
    <s v="7642"/>
    <s v="Sakskøbing Sogn"/>
    <x v="761"/>
    <x v="0"/>
  </r>
  <r>
    <x v="3"/>
    <x v="36"/>
    <s v="7642"/>
    <s v="Sakskøbing Sogn"/>
    <x v="762"/>
    <x v="0"/>
  </r>
  <r>
    <x v="3"/>
    <x v="36"/>
    <s v="9319"/>
    <s v="Nysted-Vantore Sogn"/>
    <x v="763"/>
    <x v="0"/>
  </r>
  <r>
    <x v="3"/>
    <x v="36"/>
    <s v="9319"/>
    <s v="Nysted-Vantore Sogn"/>
    <x v="764"/>
    <x v="0"/>
  </r>
  <r>
    <x v="3"/>
    <x v="36"/>
    <s v="9319"/>
    <s v="Nysted-Vantore Sogn"/>
    <x v="765"/>
    <x v="0"/>
  </r>
  <r>
    <x v="3"/>
    <x v="36"/>
    <s v="9330"/>
    <s v="Krumsø Sogn"/>
    <x v="766"/>
    <x v="0"/>
  </r>
  <r>
    <x v="3"/>
    <x v="36"/>
    <s v="9330"/>
    <s v="Krumsø Sogn"/>
    <x v="767"/>
    <x v="0"/>
  </r>
  <r>
    <x v="3"/>
    <x v="36"/>
    <s v="9330"/>
    <s v="Krumsø Sogn"/>
    <x v="768"/>
    <x v="0"/>
  </r>
  <r>
    <x v="3"/>
    <x v="36"/>
    <s v="9332"/>
    <s v="Slemminge-Fjelde Sogn"/>
    <x v="769"/>
    <x v="0"/>
  </r>
  <r>
    <x v="3"/>
    <x v="36"/>
    <s v="9332"/>
    <s v="Slemminge-Fjelde Sogn"/>
    <x v="770"/>
    <x v="0"/>
  </r>
  <r>
    <x v="3"/>
    <x v="36"/>
    <s v="9336"/>
    <s v="Kettinge-Bregninge Sogn"/>
    <x v="441"/>
    <x v="0"/>
  </r>
  <r>
    <x v="3"/>
    <x v="36"/>
    <s v="9336"/>
    <s v="Kettinge-Bregninge Sogn"/>
    <x v="771"/>
    <x v="0"/>
  </r>
  <r>
    <x v="3"/>
    <x v="36"/>
    <s v="9340"/>
    <s v="Radsted-Tårs Sogn"/>
    <x v="772"/>
    <x v="0"/>
  </r>
  <r>
    <x v="3"/>
    <x v="36"/>
    <s v="9340"/>
    <s v="Radsted-Tårs Sogn"/>
    <x v="773"/>
    <x v="0"/>
  </r>
  <r>
    <x v="3"/>
    <x v="36"/>
    <s v="9341"/>
    <s v="Våbensted-Engestofte Sogn"/>
    <x v="774"/>
    <x v="0"/>
  </r>
  <r>
    <x v="3"/>
    <x v="36"/>
    <s v="9341"/>
    <s v="Våbensted-Engestofte Sogn"/>
    <x v="775"/>
    <x v="0"/>
  </r>
  <r>
    <x v="3"/>
    <x v="37"/>
    <s v="7575"/>
    <s v="Ønslev Sogn"/>
    <x v="776"/>
    <x v="0"/>
  </r>
  <r>
    <x v="3"/>
    <x v="37"/>
    <s v="7576"/>
    <s v="Eskilstrup Sogn"/>
    <x v="777"/>
    <x v="0"/>
  </r>
  <r>
    <x v="3"/>
    <x v="37"/>
    <s v="7577"/>
    <s v="Tingsted Sogn"/>
    <x v="778"/>
    <x v="0"/>
  </r>
  <r>
    <x v="3"/>
    <x v="37"/>
    <s v="7578"/>
    <s v="Nykøbing F Sogn"/>
    <x v="779"/>
    <x v="0"/>
  </r>
  <r>
    <x v="3"/>
    <x v="37"/>
    <s v="7578"/>
    <s v="Nykøbing F Sogn"/>
    <x v="780"/>
    <x v="1"/>
  </r>
  <r>
    <x v="3"/>
    <x v="37"/>
    <s v="7578"/>
    <s v="Nykøbing F Sogn"/>
    <x v="781"/>
    <x v="1"/>
  </r>
  <r>
    <x v="3"/>
    <x v="37"/>
    <s v="7578"/>
    <s v="Nykøbing F Sogn"/>
    <x v="782"/>
    <x v="0"/>
  </r>
  <r>
    <x v="3"/>
    <x v="37"/>
    <s v="7578"/>
    <s v="Nykøbing F Sogn"/>
    <x v="783"/>
    <x v="0"/>
  </r>
  <r>
    <x v="3"/>
    <x v="37"/>
    <s v="7579"/>
    <s v="Idestrup Sogn"/>
    <x v="784"/>
    <x v="0"/>
  </r>
  <r>
    <x v="3"/>
    <x v="37"/>
    <s v="7580"/>
    <s v="Væggerløse Sogn"/>
    <x v="785"/>
    <x v="0"/>
  </r>
  <r>
    <x v="3"/>
    <x v="37"/>
    <s v="7580"/>
    <s v="Væggerløse Sogn"/>
    <x v="786"/>
    <x v="1"/>
  </r>
  <r>
    <x v="3"/>
    <x v="37"/>
    <s v="7581"/>
    <s v="Skelby Sogn"/>
    <x v="616"/>
    <x v="0"/>
  </r>
  <r>
    <x v="3"/>
    <x v="37"/>
    <s v="7582"/>
    <s v="Gedesby Sogn"/>
    <x v="787"/>
    <x v="0"/>
  </r>
  <r>
    <x v="3"/>
    <x v="37"/>
    <s v="7583"/>
    <s v="Sønder Kirkeby Sogn"/>
    <x v="788"/>
    <x v="0"/>
  </r>
  <r>
    <x v="3"/>
    <x v="37"/>
    <s v="7584"/>
    <s v="Sønder Alslev Sogn"/>
    <x v="789"/>
    <x v="0"/>
  </r>
  <r>
    <x v="3"/>
    <x v="37"/>
    <s v="7585"/>
    <s v="Karleby Sogn"/>
    <x v="790"/>
    <x v="0"/>
  </r>
  <r>
    <x v="3"/>
    <x v="37"/>
    <s v="7586"/>
    <s v="Horreby Sogn"/>
    <x v="791"/>
    <x v="0"/>
  </r>
  <r>
    <x v="3"/>
    <x v="37"/>
    <s v="7587"/>
    <s v="Nørre Ørslev Sogn"/>
    <x v="792"/>
    <x v="0"/>
  </r>
  <r>
    <x v="3"/>
    <x v="37"/>
    <s v="7588"/>
    <s v="Systofte Sogn"/>
    <x v="793"/>
    <x v="0"/>
  </r>
  <r>
    <x v="3"/>
    <x v="37"/>
    <s v="7589"/>
    <s v="Horbelev Sogn"/>
    <x v="794"/>
    <x v="0"/>
  </r>
  <r>
    <x v="3"/>
    <x v="37"/>
    <s v="7590"/>
    <s v="Falkerslev Sogn"/>
    <x v="795"/>
    <x v="0"/>
  </r>
  <r>
    <x v="3"/>
    <x v="37"/>
    <s v="7591"/>
    <s v="Aastrup Sogn"/>
    <x v="796"/>
    <x v="0"/>
  </r>
  <r>
    <x v="3"/>
    <x v="37"/>
    <s v="7607"/>
    <s v="Stubbekøbing Sogn"/>
    <x v="797"/>
    <x v="0"/>
  </r>
  <r>
    <x v="3"/>
    <x v="37"/>
    <s v="7607"/>
    <s v="Stubbekøbing Sogn"/>
    <x v="798"/>
    <x v="0"/>
  </r>
  <r>
    <x v="3"/>
    <x v="37"/>
    <s v="7608"/>
    <s v="Maglebrænde Sogn"/>
    <x v="799"/>
    <x v="0"/>
  </r>
  <r>
    <x v="3"/>
    <x v="37"/>
    <s v="7611"/>
    <s v="Gundslev Sogn"/>
    <x v="800"/>
    <x v="0"/>
  </r>
  <r>
    <x v="3"/>
    <x v="37"/>
    <s v="7611"/>
    <s v="Gundslev Sogn"/>
    <x v="801"/>
    <x v="0"/>
  </r>
  <r>
    <x v="3"/>
    <x v="37"/>
    <s v="7613"/>
    <s v="Nørre Alslev Sogn"/>
    <x v="802"/>
    <x v="0"/>
  </r>
  <r>
    <x v="3"/>
    <x v="37"/>
    <s v="7614"/>
    <s v="Nørre Kirkeby Sogn"/>
    <x v="803"/>
    <x v="0"/>
  </r>
  <r>
    <x v="3"/>
    <x v="37"/>
    <s v="9249"/>
    <s v="Gedser Sogn"/>
    <x v="804"/>
    <x v="0"/>
  </r>
  <r>
    <x v="3"/>
    <x v="37"/>
    <s v="9318"/>
    <s v="Nordvestfalster Sogn"/>
    <x v="805"/>
    <x v="0"/>
  </r>
  <r>
    <x v="3"/>
    <x v="37"/>
    <s v="9318"/>
    <s v="Nordvestfalster Sogn"/>
    <x v="806"/>
    <x v="1"/>
  </r>
  <r>
    <x v="3"/>
    <x v="37"/>
    <s v="9318"/>
    <s v="Nordvestfalster Sogn"/>
    <x v="807"/>
    <x v="0"/>
  </r>
  <r>
    <x v="3"/>
    <x v="37"/>
    <s v="9318"/>
    <s v="Nordvestfalster Sogn"/>
    <x v="808"/>
    <x v="0"/>
  </r>
  <r>
    <x v="3"/>
    <x v="37"/>
    <s v="9318"/>
    <s v="Nordvestfalster Sogn"/>
    <x v="809"/>
    <x v="0"/>
  </r>
  <r>
    <x v="3"/>
    <x v="37"/>
    <s v="9318"/>
    <s v="Nordvestfalster Sogn"/>
    <x v="810"/>
    <x v="0"/>
  </r>
  <r>
    <x v="3"/>
    <x v="37"/>
    <s v="9357"/>
    <s v="Torkilstrup-Lillebrænde Sogn"/>
    <x v="811"/>
    <x v="0"/>
  </r>
  <r>
    <x v="3"/>
    <x v="37"/>
    <s v="9357"/>
    <s v="Torkilstrup-Lillebrænde Sogn"/>
    <x v="812"/>
    <x v="0"/>
  </r>
  <r>
    <x v="4"/>
    <x v="38"/>
    <s v="7774"/>
    <s v="Sankt Knuds Sogn"/>
    <x v="813"/>
    <x v="0"/>
  </r>
  <r>
    <x v="4"/>
    <x v="38"/>
    <s v="7774"/>
    <s v="Sankt Knuds Sogn"/>
    <x v="33"/>
    <x v="0"/>
  </r>
  <r>
    <x v="4"/>
    <x v="38"/>
    <s v="7774"/>
    <s v="Sankt Knuds Sogn"/>
    <x v="814"/>
    <x v="0"/>
  </r>
  <r>
    <x v="4"/>
    <x v="38"/>
    <s v="7775"/>
    <s v="Ansgars Sogn"/>
    <x v="815"/>
    <x v="2"/>
  </r>
  <r>
    <x v="4"/>
    <x v="38"/>
    <s v="7775"/>
    <s v="Ansgars Sogn"/>
    <x v="816"/>
    <x v="0"/>
  </r>
  <r>
    <x v="4"/>
    <x v="38"/>
    <s v="7775"/>
    <s v="Ansgars Sogn"/>
    <x v="817"/>
    <x v="0"/>
  </r>
  <r>
    <x v="4"/>
    <x v="38"/>
    <s v="7775"/>
    <s v="Ansgars Sogn"/>
    <x v="818"/>
    <x v="0"/>
  </r>
  <r>
    <x v="4"/>
    <x v="38"/>
    <s v="7776"/>
    <s v="Bolbro Sogn"/>
    <x v="819"/>
    <x v="0"/>
  </r>
  <r>
    <x v="4"/>
    <x v="38"/>
    <s v="7777"/>
    <s v="Thomas Kingos Sogn"/>
    <x v="820"/>
    <x v="0"/>
  </r>
  <r>
    <x v="4"/>
    <x v="38"/>
    <s v="7778"/>
    <s v="Munkebjerg Sogn"/>
    <x v="821"/>
    <x v="0"/>
  </r>
  <r>
    <x v="4"/>
    <x v="38"/>
    <s v="7779"/>
    <s v="Vor Frue Sogn"/>
    <x v="117"/>
    <x v="0"/>
  </r>
  <r>
    <x v="4"/>
    <x v="38"/>
    <s v="7780"/>
    <s v="Korsløkke Sogn"/>
    <x v="86"/>
    <x v="0"/>
  </r>
  <r>
    <x v="4"/>
    <x v="38"/>
    <s v="7781"/>
    <s v="Sankt Hans Sogn"/>
    <x v="822"/>
    <x v="0"/>
  </r>
  <r>
    <x v="4"/>
    <x v="38"/>
    <s v="7782"/>
    <s v="Fredens Sogn"/>
    <x v="113"/>
    <x v="0"/>
  </r>
  <r>
    <x v="4"/>
    <x v="38"/>
    <s v="7782"/>
    <s v="Fredens Sogn"/>
    <x v="823"/>
    <x v="0"/>
  </r>
  <r>
    <x v="4"/>
    <x v="38"/>
    <s v="7783"/>
    <s v="Hans Tausens Sogn"/>
    <x v="99"/>
    <x v="0"/>
  </r>
  <r>
    <x v="4"/>
    <x v="38"/>
    <s v="9093"/>
    <s v="Vollsmose Sogn"/>
    <x v="824"/>
    <x v="0"/>
  </r>
  <r>
    <x v="4"/>
    <x v="39"/>
    <s v="7843"/>
    <s v="Lunde Sogn"/>
    <x v="825"/>
    <x v="0"/>
  </r>
  <r>
    <x v="4"/>
    <x v="39"/>
    <s v="7848"/>
    <s v="Krogsbølle Sogn"/>
    <x v="826"/>
    <x v="0"/>
  </r>
  <r>
    <x v="4"/>
    <x v="39"/>
    <s v="7849"/>
    <s v="Nørre Næraa Sogn"/>
    <x v="827"/>
    <x v="0"/>
  </r>
  <r>
    <x v="4"/>
    <x v="39"/>
    <s v="7850"/>
    <s v="Bederslev Sogn"/>
    <x v="828"/>
    <x v="0"/>
  </r>
  <r>
    <x v="4"/>
    <x v="39"/>
    <s v="7851"/>
    <s v="Klinte Sogn"/>
    <x v="829"/>
    <x v="0"/>
  </r>
  <r>
    <x v="4"/>
    <x v="39"/>
    <s v="7852"/>
    <s v="Grindløse Sogn"/>
    <x v="830"/>
    <x v="0"/>
  </r>
  <r>
    <x v="4"/>
    <x v="39"/>
    <s v="7853"/>
    <s v="Uggerslev Sogn"/>
    <x v="831"/>
    <x v="0"/>
  </r>
  <r>
    <x v="4"/>
    <x v="39"/>
    <s v="7854"/>
    <s v="Nørre Højrup Sogn"/>
    <x v="832"/>
    <x v="0"/>
  </r>
  <r>
    <x v="4"/>
    <x v="39"/>
    <s v="7855"/>
    <s v="Skamby Sogn"/>
    <x v="833"/>
    <x v="0"/>
  </r>
  <r>
    <x v="4"/>
    <x v="39"/>
    <s v="7856"/>
    <s v="Bogense Sogn"/>
    <x v="834"/>
    <x v="0"/>
  </r>
  <r>
    <x v="4"/>
    <x v="39"/>
    <s v="7857"/>
    <s v="Skovby Sogn"/>
    <x v="835"/>
    <x v="0"/>
  </r>
  <r>
    <x v="4"/>
    <x v="39"/>
    <s v="7858"/>
    <s v="Ore Sogn"/>
    <x v="836"/>
    <x v="0"/>
  </r>
  <r>
    <x v="4"/>
    <x v="39"/>
    <s v="7859"/>
    <s v="Guldbjerg Sogn"/>
    <x v="837"/>
    <x v="0"/>
  </r>
  <r>
    <x v="4"/>
    <x v="39"/>
    <s v="7860"/>
    <s v="Nørre Sandager Sogn"/>
    <x v="838"/>
    <x v="0"/>
  </r>
  <r>
    <x v="4"/>
    <x v="39"/>
    <s v="7861"/>
    <s v="Ejlby Sogn"/>
    <x v="839"/>
    <x v="0"/>
  </r>
  <r>
    <x v="4"/>
    <x v="39"/>
    <s v="7862"/>
    <s v="Melby Sogn"/>
    <x v="258"/>
    <x v="0"/>
  </r>
  <r>
    <x v="4"/>
    <x v="39"/>
    <s v="7863"/>
    <s v="Særslev Sogn"/>
    <x v="446"/>
    <x v="0"/>
  </r>
  <r>
    <x v="4"/>
    <x v="39"/>
    <s v="7864"/>
    <s v="Hårslev Sogn"/>
    <x v="583"/>
    <x v="0"/>
  </r>
  <r>
    <x v="4"/>
    <x v="39"/>
    <s v="7865"/>
    <s v="Vigerslev Sogn"/>
    <x v="840"/>
    <x v="1"/>
  </r>
  <r>
    <x v="4"/>
    <x v="39"/>
    <s v="7865"/>
    <s v="Vigerslev Sogn"/>
    <x v="75"/>
    <x v="0"/>
  </r>
  <r>
    <x v="4"/>
    <x v="39"/>
    <s v="7866"/>
    <s v="Veflinge Sogn"/>
    <x v="841"/>
    <x v="0"/>
  </r>
  <r>
    <x v="4"/>
    <x v="39"/>
    <s v="7867"/>
    <s v="Søndersø Sogn"/>
    <x v="842"/>
    <x v="0"/>
  </r>
  <r>
    <x v="4"/>
    <x v="39"/>
    <s v="7888"/>
    <s v="Norup Sogn"/>
    <x v="843"/>
    <x v="0"/>
  </r>
  <r>
    <x v="4"/>
    <x v="39"/>
    <s v="7888"/>
    <s v="Norup Sogn"/>
    <x v="844"/>
    <x v="1"/>
  </r>
  <r>
    <x v="4"/>
    <x v="39"/>
    <s v="7889"/>
    <s v="Østrup Sogn"/>
    <x v="845"/>
    <x v="0"/>
  </r>
  <r>
    <x v="4"/>
    <x v="39"/>
    <s v="7890"/>
    <s v="Skeby Sogn"/>
    <x v="846"/>
    <x v="1"/>
  </r>
  <r>
    <x v="4"/>
    <x v="39"/>
    <s v="7890"/>
    <s v="Skeby Sogn"/>
    <x v="847"/>
    <x v="0"/>
  </r>
  <r>
    <x v="4"/>
    <x v="39"/>
    <s v="7891"/>
    <s v="Otterup Sogn"/>
    <x v="848"/>
    <x v="0"/>
  </r>
  <r>
    <x v="4"/>
    <x v="39"/>
    <s v="7892"/>
    <s v="Hjadstrup Sogn"/>
    <x v="849"/>
    <x v="0"/>
  </r>
  <r>
    <x v="4"/>
    <x v="39"/>
    <s v="9251"/>
    <s v="Padesø Sogn"/>
    <x v="850"/>
    <x v="0"/>
  </r>
  <r>
    <x v="4"/>
    <x v="40"/>
    <s v="7760"/>
    <s v="Jordløse Sogn"/>
    <x v="851"/>
    <x v="0"/>
  </r>
  <r>
    <x v="4"/>
    <x v="40"/>
    <s v="7793"/>
    <s v="Verninge Sogn"/>
    <x v="852"/>
    <x v="0"/>
  </r>
  <r>
    <x v="4"/>
    <x v="40"/>
    <s v="7794"/>
    <s v="Tommerup Sogn"/>
    <x v="853"/>
    <x v="0"/>
  </r>
  <r>
    <x v="4"/>
    <x v="40"/>
    <s v="7795"/>
    <s v="Brylle Sogn"/>
    <x v="854"/>
    <x v="0"/>
  </r>
  <r>
    <x v="4"/>
    <x v="40"/>
    <s v="7796"/>
    <s v="Vissenbjerg Sogn"/>
    <x v="855"/>
    <x v="0"/>
  </r>
  <r>
    <x v="4"/>
    <x v="40"/>
    <s v="7801"/>
    <s v="Assens Sogn"/>
    <x v="117"/>
    <x v="0"/>
  </r>
  <r>
    <x v="4"/>
    <x v="40"/>
    <s v="7802"/>
    <s v="Bågø Sogn"/>
    <x v="856"/>
    <x v="0"/>
  </r>
  <r>
    <x v="4"/>
    <x v="40"/>
    <s v="7803"/>
    <s v="Kærum Sogn"/>
    <x v="857"/>
    <x v="0"/>
  </r>
  <r>
    <x v="4"/>
    <x v="40"/>
    <s v="7804"/>
    <s v="Gamtofte Sogn"/>
    <x v="858"/>
    <x v="0"/>
  </r>
  <r>
    <x v="4"/>
    <x v="40"/>
    <s v="7805"/>
    <s v="Søby Sogn"/>
    <x v="859"/>
    <x v="0"/>
  </r>
  <r>
    <x v="4"/>
    <x v="40"/>
    <s v="7806"/>
    <s v="Turup Sogn"/>
    <x v="860"/>
    <x v="0"/>
  </r>
  <r>
    <x v="4"/>
    <x v="40"/>
    <s v="7807"/>
    <s v="Barløse Sogn"/>
    <x v="861"/>
    <x v="0"/>
  </r>
  <r>
    <x v="4"/>
    <x v="40"/>
    <s v="7808"/>
    <s v="Sandager Sogn"/>
    <x v="862"/>
    <x v="0"/>
  </r>
  <r>
    <x v="4"/>
    <x v="40"/>
    <s v="7809"/>
    <s v="Holevad Sogn"/>
    <x v="863"/>
    <x v="0"/>
  </r>
  <r>
    <x v="4"/>
    <x v="40"/>
    <s v="7811"/>
    <s v="Kerte Sogn"/>
    <x v="864"/>
    <x v="0"/>
  </r>
  <r>
    <x v="4"/>
    <x v="40"/>
    <s v="7812"/>
    <s v="Skydebjerg Sogn"/>
    <x v="865"/>
    <x v="0"/>
  </r>
  <r>
    <x v="4"/>
    <x v="40"/>
    <s v="7813"/>
    <s v="Ørsted Sogn"/>
    <x v="376"/>
    <x v="0"/>
  </r>
  <r>
    <x v="4"/>
    <x v="40"/>
    <s v="7814"/>
    <s v="Orte Sogn"/>
    <x v="866"/>
    <x v="0"/>
  </r>
  <r>
    <x v="4"/>
    <x v="40"/>
    <s v="7815"/>
    <s v="Søllested Sogn"/>
    <x v="724"/>
    <x v="0"/>
  </r>
  <r>
    <x v="4"/>
    <x v="40"/>
    <s v="7816"/>
    <s v="Vedtofte Sogn"/>
    <x v="867"/>
    <x v="0"/>
  </r>
  <r>
    <x v="4"/>
    <x v="40"/>
    <s v="7817"/>
    <s v="Glamsbjerg Sogn"/>
    <x v="868"/>
    <x v="0"/>
  </r>
  <r>
    <x v="4"/>
    <x v="40"/>
    <s v="7817"/>
    <s v="Glamsbjerg Sogn"/>
    <x v="645"/>
    <x v="0"/>
  </r>
  <r>
    <x v="4"/>
    <x v="40"/>
    <s v="7818"/>
    <s v="Flemløse Sogn"/>
    <x v="869"/>
    <x v="0"/>
  </r>
  <r>
    <x v="4"/>
    <x v="40"/>
    <s v="7819"/>
    <s v="Haarby Sogn"/>
    <x v="870"/>
    <x v="2"/>
  </r>
  <r>
    <x v="4"/>
    <x v="40"/>
    <s v="7819"/>
    <s v="Haarby Sogn"/>
    <x v="871"/>
    <x v="0"/>
  </r>
  <r>
    <x v="4"/>
    <x v="40"/>
    <s v="7820"/>
    <s v="Dreslette Sogn"/>
    <x v="872"/>
    <x v="0"/>
  </r>
  <r>
    <x v="4"/>
    <x v="40"/>
    <s v="7821"/>
    <s v="Sønderby Sogn"/>
    <x v="873"/>
    <x v="0"/>
  </r>
  <r>
    <x v="4"/>
    <x v="40"/>
    <s v="7822"/>
    <s v="Helnæs Sogn"/>
    <x v="874"/>
    <x v="0"/>
  </r>
  <r>
    <x v="4"/>
    <x v="40"/>
    <s v="7833"/>
    <s v="Rørup Sogn"/>
    <x v="875"/>
    <x v="0"/>
  </r>
  <r>
    <x v="4"/>
    <x v="40"/>
    <s v="9075"/>
    <s v="Årup Sogn"/>
    <x v="876"/>
    <x v="0"/>
  </r>
  <r>
    <x v="4"/>
    <x v="40"/>
    <s v="9118"/>
    <s v="Broholm Sogn"/>
    <x v="877"/>
    <x v="0"/>
  </r>
  <r>
    <x v="4"/>
    <x v="41"/>
    <s v="7810"/>
    <s v="Tanderup Sogn"/>
    <x v="878"/>
    <x v="0"/>
  </r>
  <r>
    <x v="4"/>
    <x v="41"/>
    <s v="7823"/>
    <s v="Middelfart Sogn"/>
    <x v="879"/>
    <x v="0"/>
  </r>
  <r>
    <x v="4"/>
    <x v="41"/>
    <s v="7823"/>
    <s v="Middelfart Sogn"/>
    <x v="880"/>
    <x v="2"/>
  </r>
  <r>
    <x v="4"/>
    <x v="41"/>
    <s v="7824"/>
    <s v="Kauslunde Sogn"/>
    <x v="881"/>
    <x v="0"/>
  </r>
  <r>
    <x v="4"/>
    <x v="41"/>
    <s v="7825"/>
    <s v="Vejlby Sogn"/>
    <x v="882"/>
    <x v="0"/>
  </r>
  <r>
    <x v="4"/>
    <x v="41"/>
    <s v="7826"/>
    <s v="Strib Sogn"/>
    <x v="883"/>
    <x v="0"/>
  </r>
  <r>
    <x v="4"/>
    <x v="41"/>
    <s v="7827"/>
    <s v="Asperup Sogn"/>
    <x v="884"/>
    <x v="0"/>
  </r>
  <r>
    <x v="4"/>
    <x v="41"/>
    <s v="7828"/>
    <s v="Roerslev Sogn"/>
    <x v="885"/>
    <x v="0"/>
  </r>
  <r>
    <x v="4"/>
    <x v="41"/>
    <s v="7829"/>
    <s v="Brenderup Sogn"/>
    <x v="886"/>
    <x v="0"/>
  </r>
  <r>
    <x v="4"/>
    <x v="41"/>
    <s v="7830"/>
    <s v="Fjelsted Sogn"/>
    <x v="887"/>
    <x v="0"/>
  </r>
  <r>
    <x v="4"/>
    <x v="41"/>
    <s v="7831"/>
    <s v="Harndrup Sogn"/>
    <x v="888"/>
    <x v="0"/>
  </r>
  <r>
    <x v="4"/>
    <x v="41"/>
    <s v="7832"/>
    <s v="Gelsted Sogn"/>
    <x v="889"/>
    <x v="0"/>
  </r>
  <r>
    <x v="4"/>
    <x v="41"/>
    <s v="7834"/>
    <s v="Balslev Sogn"/>
    <x v="890"/>
    <x v="0"/>
  </r>
  <r>
    <x v="4"/>
    <x v="41"/>
    <s v="7835"/>
    <s v="Ejby Sogn"/>
    <x v="400"/>
    <x v="0"/>
  </r>
  <r>
    <x v="4"/>
    <x v="41"/>
    <s v="7835"/>
    <s v="Ejby Sogn"/>
    <x v="891"/>
    <x v="0"/>
  </r>
  <r>
    <x v="4"/>
    <x v="41"/>
    <s v="7836"/>
    <s v="Nørre Aaby Sogn"/>
    <x v="892"/>
    <x v="0"/>
  </r>
  <r>
    <x v="4"/>
    <x v="41"/>
    <s v="7837"/>
    <s v="Indslev Sogn"/>
    <x v="893"/>
    <x v="0"/>
  </r>
  <r>
    <x v="4"/>
    <x v="41"/>
    <s v="7838"/>
    <s v="Gamborg Sogn"/>
    <x v="894"/>
    <x v="0"/>
  </r>
  <r>
    <x v="4"/>
    <x v="41"/>
    <s v="7839"/>
    <s v="Udby Sogn"/>
    <x v="478"/>
    <x v="0"/>
  </r>
  <r>
    <x v="4"/>
    <x v="41"/>
    <s v="7840"/>
    <s v="Føns Sogn"/>
    <x v="895"/>
    <x v="0"/>
  </r>
  <r>
    <x v="4"/>
    <x v="41"/>
    <s v="7841"/>
    <s v="Ørslev Sogn"/>
    <x v="420"/>
    <x v="0"/>
  </r>
  <r>
    <x v="4"/>
    <x v="41"/>
    <s v="7842"/>
    <s v="Husby Sogn"/>
    <x v="896"/>
    <x v="0"/>
  </r>
  <r>
    <x v="4"/>
    <x v="41"/>
    <s v="7842"/>
    <s v="Husby Sogn"/>
    <x v="897"/>
    <x v="2"/>
  </r>
  <r>
    <x v="4"/>
    <x v="41"/>
    <s v="9255"/>
    <s v="Røjleskov Sogn"/>
    <x v="898"/>
    <x v="0"/>
  </r>
  <r>
    <x v="4"/>
    <x v="42"/>
    <s v="7675"/>
    <s v="Vor Frue Sogn"/>
    <x v="117"/>
    <x v="0"/>
  </r>
  <r>
    <x v="4"/>
    <x v="42"/>
    <s v="7676"/>
    <s v="Sankt Nikolaj Sogn"/>
    <x v="899"/>
    <x v="0"/>
  </r>
  <r>
    <x v="4"/>
    <x v="42"/>
    <s v="7676"/>
    <s v="Sankt Nikolaj Sogn"/>
    <x v="900"/>
    <x v="0"/>
  </r>
  <r>
    <x v="4"/>
    <x v="42"/>
    <s v="7676"/>
    <s v="Sankt Nikolaj Sogn"/>
    <x v="901"/>
    <x v="0"/>
  </r>
  <r>
    <x v="4"/>
    <x v="42"/>
    <s v="7677"/>
    <s v="Sankt Jørgens Sogn"/>
    <x v="902"/>
    <x v="0"/>
  </r>
  <r>
    <x v="4"/>
    <x v="42"/>
    <s v="7677"/>
    <s v="Sankt Jørgens Sogn"/>
    <x v="617"/>
    <x v="0"/>
  </r>
  <r>
    <x v="4"/>
    <x v="42"/>
    <s v="7678"/>
    <s v="Sørup Sogn"/>
    <x v="903"/>
    <x v="0"/>
  </r>
  <r>
    <x v="4"/>
    <x v="42"/>
    <s v="7679"/>
    <s v="Skårup Sogn"/>
    <x v="904"/>
    <x v="0"/>
  </r>
  <r>
    <x v="4"/>
    <x v="42"/>
    <s v="7680"/>
    <s v="Tved Sogn"/>
    <x v="905"/>
    <x v="0"/>
  </r>
  <r>
    <x v="4"/>
    <x v="42"/>
    <s v="7681"/>
    <s v="Egense Sogn"/>
    <x v="906"/>
    <x v="0"/>
  </r>
  <r>
    <x v="4"/>
    <x v="42"/>
    <s v="7682"/>
    <s v="Øster Skerninge Sogn"/>
    <x v="907"/>
    <x v="0"/>
  </r>
  <r>
    <x v="4"/>
    <x v="42"/>
    <s v="7683"/>
    <s v="Hundstrup Sogn"/>
    <x v="908"/>
    <x v="0"/>
  </r>
  <r>
    <x v="4"/>
    <x v="42"/>
    <s v="7684"/>
    <s v="Ollerup Sogn"/>
    <x v="909"/>
    <x v="0"/>
  </r>
  <r>
    <x v="4"/>
    <x v="42"/>
    <s v="7685"/>
    <s v="Kirkeby Sogn"/>
    <x v="910"/>
    <x v="0"/>
  </r>
  <r>
    <x v="4"/>
    <x v="42"/>
    <s v="7686"/>
    <s v="Stenstrup Sogn"/>
    <x v="911"/>
    <x v="0"/>
  </r>
  <r>
    <x v="4"/>
    <x v="42"/>
    <s v="7687"/>
    <s v="Lunde Sogn"/>
    <x v="825"/>
    <x v="0"/>
  </r>
  <r>
    <x v="4"/>
    <x v="42"/>
    <s v="7689"/>
    <s v="Thurø Sogn"/>
    <x v="912"/>
    <x v="0"/>
  </r>
  <r>
    <x v="4"/>
    <x v="42"/>
    <s v="7690"/>
    <s v="Bregninge Sogn"/>
    <x v="441"/>
    <x v="0"/>
  </r>
  <r>
    <x v="4"/>
    <x v="42"/>
    <s v="7690"/>
    <s v="Bregninge Sogn"/>
    <x v="913"/>
    <x v="0"/>
  </r>
  <r>
    <x v="4"/>
    <x v="42"/>
    <s v="7691"/>
    <s v="Landet Sogn"/>
    <x v="617"/>
    <x v="0"/>
  </r>
  <r>
    <x v="4"/>
    <x v="42"/>
    <s v="7692"/>
    <s v="Bjerreby Sogn"/>
    <x v="609"/>
    <x v="0"/>
  </r>
  <r>
    <x v="4"/>
    <x v="42"/>
    <s v="7693"/>
    <s v="Drejø Sogn"/>
    <x v="914"/>
    <x v="0"/>
  </r>
  <r>
    <x v="4"/>
    <x v="42"/>
    <s v="7693"/>
    <s v="Drejø Sogn"/>
    <x v="915"/>
    <x v="1"/>
  </r>
  <r>
    <x v="4"/>
    <x v="42"/>
    <s v="7699"/>
    <s v="Vester Skerninge Sogn"/>
    <x v="916"/>
    <x v="0"/>
  </r>
  <r>
    <x v="4"/>
    <x v="42"/>
    <s v="7700"/>
    <s v="Ulbølle Sogn"/>
    <x v="917"/>
    <x v="0"/>
  </r>
  <r>
    <x v="4"/>
    <x v="42"/>
    <s v="7719"/>
    <s v="Oure Sogn"/>
    <x v="918"/>
    <x v="0"/>
  </r>
  <r>
    <x v="4"/>
    <x v="42"/>
    <s v="7720"/>
    <s v="Vejstrup Sogn"/>
    <x v="919"/>
    <x v="0"/>
  </r>
  <r>
    <x v="4"/>
    <x v="42"/>
    <s v="7720"/>
    <s v="Vejstrup Sogn"/>
    <x v="920"/>
    <x v="0"/>
  </r>
  <r>
    <x v="4"/>
    <x v="42"/>
    <s v="7721"/>
    <s v="Gudme Sogn"/>
    <x v="921"/>
    <x v="0"/>
  </r>
  <r>
    <x v="4"/>
    <x v="42"/>
    <s v="7722"/>
    <s v="Brudager Sogn"/>
    <x v="922"/>
    <x v="0"/>
  </r>
  <r>
    <x v="4"/>
    <x v="42"/>
    <s v="7723"/>
    <s v="Gudbjerg Sogn"/>
    <x v="923"/>
    <x v="0"/>
  </r>
  <r>
    <x v="4"/>
    <x v="42"/>
    <s v="7772"/>
    <s v="Hesselager Sogn"/>
    <x v="924"/>
    <x v="0"/>
  </r>
  <r>
    <x v="4"/>
    <x v="42"/>
    <s v="9139"/>
    <s v="Fredens Sogn"/>
    <x v="113"/>
    <x v="0"/>
  </r>
  <r>
    <x v="4"/>
    <x v="42"/>
    <s v="9258"/>
    <s v="Lundeborg Sogn"/>
    <x v="925"/>
    <x v="0"/>
  </r>
  <r>
    <x v="4"/>
    <x v="43"/>
    <s v="7695"/>
    <s v="Fåborg Sogn"/>
    <x v="110"/>
    <x v="0"/>
  </r>
  <r>
    <x v="4"/>
    <x v="43"/>
    <s v="7696"/>
    <s v="Diernæs Sogn"/>
    <x v="926"/>
    <x v="0"/>
  </r>
  <r>
    <x v="4"/>
    <x v="43"/>
    <s v="7697"/>
    <s v="Vester Åby Sogn"/>
    <x v="927"/>
    <x v="0"/>
  </r>
  <r>
    <x v="4"/>
    <x v="43"/>
    <s v="7698"/>
    <s v="Åstrup Sogn"/>
    <x v="928"/>
    <x v="0"/>
  </r>
  <r>
    <x v="4"/>
    <x v="43"/>
    <s v="7746"/>
    <s v="Brahetrolleborg Sogn"/>
    <x v="929"/>
    <x v="0"/>
  </r>
  <r>
    <x v="4"/>
    <x v="43"/>
    <s v="7747"/>
    <s v="Krarup Sogn"/>
    <x v="930"/>
    <x v="0"/>
  </r>
  <r>
    <x v="4"/>
    <x v="43"/>
    <s v="7752"/>
    <s v="Allested Sogn"/>
    <x v="931"/>
    <x v="0"/>
  </r>
  <r>
    <x v="4"/>
    <x v="43"/>
    <s v="7753"/>
    <s v="Vejle Sogn"/>
    <x v="932"/>
    <x v="0"/>
  </r>
  <r>
    <x v="4"/>
    <x v="43"/>
    <s v="7754"/>
    <s v="Nørre Broby Sogn"/>
    <x v="933"/>
    <x v="0"/>
  </r>
  <r>
    <x v="4"/>
    <x v="43"/>
    <s v="7755"/>
    <s v="Sønder Broby Sogn"/>
    <x v="934"/>
    <x v="0"/>
  </r>
  <r>
    <x v="4"/>
    <x v="43"/>
    <s v="7757"/>
    <s v="Øster Hæsinge Sogn"/>
    <x v="935"/>
    <x v="0"/>
  </r>
  <r>
    <x v="4"/>
    <x v="43"/>
    <s v="7758"/>
    <s v="Vester Hæsinge Sogn"/>
    <x v="936"/>
    <x v="0"/>
  </r>
  <r>
    <x v="4"/>
    <x v="43"/>
    <s v="7759"/>
    <s v="Sandholts Lyndelse Sogn"/>
    <x v="937"/>
    <x v="0"/>
  </r>
  <r>
    <x v="4"/>
    <x v="43"/>
    <s v="7761"/>
    <s v="Håstrup Sogn"/>
    <x v="938"/>
    <x v="0"/>
  </r>
  <r>
    <x v="4"/>
    <x v="43"/>
    <s v="7762"/>
    <s v="Svanninge Sogn"/>
    <x v="939"/>
    <x v="1"/>
  </r>
  <r>
    <x v="4"/>
    <x v="43"/>
    <s v="7762"/>
    <s v="Svanninge Sogn"/>
    <x v="940"/>
    <x v="0"/>
  </r>
  <r>
    <x v="4"/>
    <x v="43"/>
    <s v="7763"/>
    <s v="Horne Sogn"/>
    <x v="941"/>
    <x v="0"/>
  </r>
  <r>
    <x v="4"/>
    <x v="43"/>
    <s v="7764"/>
    <s v="Lyø Sogn"/>
    <x v="942"/>
    <x v="0"/>
  </r>
  <r>
    <x v="4"/>
    <x v="43"/>
    <s v="7764"/>
    <s v="Lyø Sogn"/>
    <x v="943"/>
    <x v="0"/>
  </r>
  <r>
    <x v="4"/>
    <x v="43"/>
    <s v="7765"/>
    <s v="Avernakø Sogn"/>
    <x v="944"/>
    <x v="0"/>
  </r>
  <r>
    <x v="4"/>
    <x v="44"/>
    <s v="7784"/>
    <s v="Paarup Sogn"/>
    <x v="945"/>
    <x v="0"/>
  </r>
  <r>
    <x v="4"/>
    <x v="44"/>
    <s v="7785"/>
    <s v="Korup Sogn"/>
    <x v="946"/>
    <x v="0"/>
  </r>
  <r>
    <x v="4"/>
    <x v="44"/>
    <s v="7786"/>
    <s v="Ubberud Sogn"/>
    <x v="947"/>
    <x v="0"/>
  </r>
  <r>
    <x v="4"/>
    <x v="44"/>
    <s v="7787"/>
    <s v="Dalum Sogn"/>
    <x v="948"/>
    <x v="0"/>
  </r>
  <r>
    <x v="4"/>
    <x v="44"/>
    <s v="7787"/>
    <s v="Dalum Sogn"/>
    <x v="949"/>
    <x v="0"/>
  </r>
  <r>
    <x v="4"/>
    <x v="44"/>
    <s v="7788"/>
    <s v="Sanderum Sogn"/>
    <x v="950"/>
    <x v="0"/>
  </r>
  <r>
    <x v="4"/>
    <x v="44"/>
    <s v="7789"/>
    <s v="Brændekilde Sogn"/>
    <x v="951"/>
    <x v="0"/>
  </r>
  <r>
    <x v="4"/>
    <x v="44"/>
    <s v="7790"/>
    <s v="Bellinge Sogn"/>
    <x v="952"/>
    <x v="0"/>
  </r>
  <r>
    <x v="4"/>
    <x v="44"/>
    <s v="7791"/>
    <s v="Stenløse Sogn"/>
    <x v="224"/>
    <x v="0"/>
  </r>
  <r>
    <x v="4"/>
    <x v="44"/>
    <s v="7792"/>
    <s v="Fangel Sogn"/>
    <x v="953"/>
    <x v="0"/>
  </r>
  <r>
    <x v="4"/>
    <x v="44"/>
    <s v="7844"/>
    <s v="Lumby Sogn"/>
    <x v="954"/>
    <x v="0"/>
  </r>
  <r>
    <x v="4"/>
    <x v="44"/>
    <s v="7845"/>
    <s v="Allesø Sogn"/>
    <x v="955"/>
    <x v="0"/>
  </r>
  <r>
    <x v="4"/>
    <x v="44"/>
    <s v="7846"/>
    <s v="Næsbyhoved-Broby Sogn"/>
    <x v="956"/>
    <x v="0"/>
  </r>
  <r>
    <x v="4"/>
    <x v="44"/>
    <s v="7847"/>
    <s v="Næsby Sogn"/>
    <x v="624"/>
    <x v="0"/>
  </r>
  <r>
    <x v="4"/>
    <x v="44"/>
    <s v="7868"/>
    <s v="Agedrup Sogn"/>
    <x v="957"/>
    <x v="0"/>
  </r>
  <r>
    <x v="4"/>
    <x v="44"/>
    <s v="7877"/>
    <s v="Seden Sogn"/>
    <x v="958"/>
    <x v="0"/>
  </r>
  <r>
    <x v="4"/>
    <x v="44"/>
    <s v="7878"/>
    <s v="Åsum Sogn"/>
    <x v="959"/>
    <x v="0"/>
  </r>
  <r>
    <x v="4"/>
    <x v="44"/>
    <s v="7879"/>
    <s v="Fraugde Sogn"/>
    <x v="960"/>
    <x v="0"/>
  </r>
  <r>
    <x v="4"/>
    <x v="44"/>
    <s v="7880"/>
    <s v="Allerup Sogn"/>
    <x v="961"/>
    <x v="0"/>
  </r>
  <r>
    <x v="4"/>
    <x v="44"/>
    <s v="7881"/>
    <s v="Davinde Sogn"/>
    <x v="962"/>
    <x v="0"/>
  </r>
  <r>
    <x v="4"/>
    <x v="44"/>
    <s v="7886"/>
    <s v="Højby Sogn"/>
    <x v="494"/>
    <x v="0"/>
  </r>
  <r>
    <x v="4"/>
    <x v="44"/>
    <s v="9131"/>
    <s v="Hjallese Sogn"/>
    <x v="963"/>
    <x v="0"/>
  </r>
  <r>
    <x v="4"/>
    <x v="44"/>
    <s v="9142"/>
    <s v="Dyrup Sogn"/>
    <x v="964"/>
    <x v="0"/>
  </r>
  <r>
    <x v="4"/>
    <x v="44"/>
    <s v="9148"/>
    <s v="Tornbjerg Sogn"/>
    <x v="965"/>
    <x v="0"/>
  </r>
  <r>
    <x v="4"/>
    <x v="44"/>
    <s v="9148"/>
    <s v="Tornbjerg Sogn"/>
    <x v="966"/>
    <x v="2"/>
  </r>
  <r>
    <x v="4"/>
    <x v="44"/>
    <s v="9252"/>
    <s v="Stige Sogn"/>
    <x v="967"/>
    <x v="0"/>
  </r>
  <r>
    <x v="4"/>
    <x v="44"/>
    <s v="9253"/>
    <s v="Ravnebjerg Sogn"/>
    <x v="968"/>
    <x v="0"/>
  </r>
  <r>
    <x v="4"/>
    <x v="45"/>
    <s v="7688"/>
    <s v="Kværndrup Sogn"/>
    <x v="969"/>
    <x v="0"/>
  </r>
  <r>
    <x v="4"/>
    <x v="45"/>
    <s v="7701"/>
    <s v="Heden Sogn"/>
    <x v="970"/>
    <x v="0"/>
  </r>
  <r>
    <x v="4"/>
    <x v="45"/>
    <s v="7737"/>
    <s v="Søllinge Sogn"/>
    <x v="971"/>
    <x v="0"/>
  </r>
  <r>
    <x v="4"/>
    <x v="45"/>
    <s v="7738"/>
    <s v="Hellerup Sogn"/>
    <x v="176"/>
    <x v="0"/>
  </r>
  <r>
    <x v="4"/>
    <x v="45"/>
    <s v="7739"/>
    <s v="Sønder Højrup Sogn"/>
    <x v="972"/>
    <x v="0"/>
  </r>
  <r>
    <x v="4"/>
    <x v="45"/>
    <s v="7740"/>
    <s v="Årslev Sogn"/>
    <x v="973"/>
    <x v="0"/>
  </r>
  <r>
    <x v="4"/>
    <x v="45"/>
    <s v="7748"/>
    <s v="Herringe Sogn"/>
    <x v="974"/>
    <x v="0"/>
  </r>
  <r>
    <x v="4"/>
    <x v="45"/>
    <s v="7749"/>
    <s v="Gestelev Sogn"/>
    <x v="975"/>
    <x v="0"/>
  </r>
  <r>
    <x v="4"/>
    <x v="45"/>
    <s v="7750"/>
    <s v="Espe Sogn"/>
    <x v="976"/>
    <x v="0"/>
  </r>
  <r>
    <x v="4"/>
    <x v="45"/>
    <s v="7751"/>
    <s v="Vantinge Sogn"/>
    <x v="977"/>
    <x v="0"/>
  </r>
  <r>
    <x v="4"/>
    <x v="45"/>
    <s v="7756"/>
    <s v="Hillerslev Sogn"/>
    <x v="978"/>
    <x v="0"/>
  </r>
  <r>
    <x v="4"/>
    <x v="45"/>
    <s v="7766"/>
    <s v="Ringe Sogn"/>
    <x v="979"/>
    <x v="0"/>
  </r>
  <r>
    <x v="4"/>
    <x v="45"/>
    <s v="7766"/>
    <s v="Ringe Sogn"/>
    <x v="980"/>
    <x v="3"/>
  </r>
  <r>
    <x v="4"/>
    <x v="45"/>
    <s v="7766"/>
    <s v="Ringe Sogn"/>
    <x v="981"/>
    <x v="0"/>
  </r>
  <r>
    <x v="4"/>
    <x v="45"/>
    <s v="7767"/>
    <s v="Ryslinge Sogn"/>
    <x v="982"/>
    <x v="0"/>
  </r>
  <r>
    <x v="4"/>
    <x v="45"/>
    <s v="7767"/>
    <s v="Ryslinge Sogn"/>
    <x v="983"/>
    <x v="2"/>
  </r>
  <r>
    <x v="4"/>
    <x v="45"/>
    <s v="7768"/>
    <s v="Gislev Sogn"/>
    <x v="984"/>
    <x v="0"/>
  </r>
  <r>
    <x v="4"/>
    <x v="45"/>
    <s v="7883"/>
    <s v="Rolfsted Sogn"/>
    <x v="985"/>
    <x v="0"/>
  </r>
  <r>
    <x v="4"/>
    <x v="45"/>
    <s v="7884"/>
    <s v="Sønder Nærå Sogn"/>
    <x v="986"/>
    <x v="0"/>
  </r>
  <r>
    <x v="4"/>
    <x v="45"/>
    <s v="7884"/>
    <s v="Sønder Nærå Sogn"/>
    <x v="987"/>
    <x v="2"/>
  </r>
  <r>
    <x v="4"/>
    <x v="45"/>
    <s v="7885"/>
    <s v="Nørre Lyndelse Sogn"/>
    <x v="988"/>
    <x v="0"/>
  </r>
  <r>
    <x v="4"/>
    <x v="45"/>
    <s v="7887"/>
    <s v="Nørre Søby Sogn"/>
    <x v="989"/>
    <x v="0"/>
  </r>
  <r>
    <x v="4"/>
    <x v="45"/>
    <s v="7887"/>
    <s v="Nørre Søby Sogn"/>
    <x v="990"/>
    <x v="0"/>
  </r>
  <r>
    <x v="4"/>
    <x v="46"/>
    <s v="7694"/>
    <s v="Strynø Sogn"/>
    <x v="991"/>
    <x v="0"/>
  </r>
  <r>
    <x v="4"/>
    <x v="46"/>
    <s v="7702"/>
    <s v="Bøstrup Sogn"/>
    <x v="992"/>
    <x v="0"/>
  </r>
  <r>
    <x v="4"/>
    <x v="46"/>
    <s v="7703"/>
    <s v="Snøde Sogn"/>
    <x v="993"/>
    <x v="0"/>
  </r>
  <r>
    <x v="4"/>
    <x v="46"/>
    <s v="7704"/>
    <s v="Stoense Sogn"/>
    <x v="994"/>
    <x v="0"/>
  </r>
  <r>
    <x v="4"/>
    <x v="46"/>
    <s v="7705"/>
    <s v="Hou Sogn"/>
    <x v="995"/>
    <x v="0"/>
  </r>
  <r>
    <x v="4"/>
    <x v="46"/>
    <s v="7706"/>
    <s v="Longelse Sogn"/>
    <x v="996"/>
    <x v="0"/>
  </r>
  <r>
    <x v="4"/>
    <x v="46"/>
    <s v="7707"/>
    <s v="Fuglsbølle Sogn"/>
    <x v="997"/>
    <x v="0"/>
  </r>
  <r>
    <x v="4"/>
    <x v="46"/>
    <s v="7708"/>
    <s v="Lindelse Sogn"/>
    <x v="998"/>
    <x v="0"/>
  </r>
  <r>
    <x v="4"/>
    <x v="46"/>
    <s v="7709"/>
    <s v="Humble Sogn"/>
    <x v="999"/>
    <x v="1"/>
  </r>
  <r>
    <x v="4"/>
    <x v="46"/>
    <s v="7709"/>
    <s v="Humble Sogn"/>
    <x v="1000"/>
    <x v="1"/>
  </r>
  <r>
    <x v="4"/>
    <x v="46"/>
    <s v="7709"/>
    <s v="Humble Sogn"/>
    <x v="1001"/>
    <x v="0"/>
  </r>
  <r>
    <x v="4"/>
    <x v="46"/>
    <s v="7710"/>
    <s v="Tryggelev Sogn"/>
    <x v="1002"/>
    <x v="0"/>
  </r>
  <r>
    <x v="4"/>
    <x v="46"/>
    <s v="7711"/>
    <s v="Fodslette Sogn"/>
    <x v="1003"/>
    <x v="0"/>
  </r>
  <r>
    <x v="4"/>
    <x v="46"/>
    <s v="7712"/>
    <s v="Magleby Sogn"/>
    <x v="550"/>
    <x v="0"/>
  </r>
  <r>
    <x v="4"/>
    <x v="46"/>
    <s v="7713"/>
    <s v="Ærøskøbing Sogn"/>
    <x v="1004"/>
    <x v="0"/>
  </r>
  <r>
    <x v="4"/>
    <x v="46"/>
    <s v="7713"/>
    <s v="Ærøskøbing Sogn"/>
    <x v="1005"/>
    <x v="0"/>
  </r>
  <r>
    <x v="4"/>
    <x v="46"/>
    <s v="7714"/>
    <s v="Marstal Sogn"/>
    <x v="1006"/>
    <x v="1"/>
  </r>
  <r>
    <x v="4"/>
    <x v="46"/>
    <s v="7714"/>
    <s v="Marstal Sogn"/>
    <x v="1007"/>
    <x v="0"/>
  </r>
  <r>
    <x v="4"/>
    <x v="46"/>
    <s v="7714"/>
    <s v="Marstal Sogn"/>
    <x v="1008"/>
    <x v="0"/>
  </r>
  <r>
    <x v="4"/>
    <x v="46"/>
    <s v="7715"/>
    <s v="Rise Sogn"/>
    <x v="1009"/>
    <x v="0"/>
  </r>
  <r>
    <x v="4"/>
    <x v="46"/>
    <s v="7716"/>
    <s v="Tranderup Sogn"/>
    <x v="1010"/>
    <x v="0"/>
  </r>
  <r>
    <x v="4"/>
    <x v="46"/>
    <s v="7717"/>
    <s v="Bregninge Sogn"/>
    <x v="441"/>
    <x v="0"/>
  </r>
  <r>
    <x v="4"/>
    <x v="46"/>
    <s v="7718"/>
    <s v="Søby Sogn"/>
    <x v="859"/>
    <x v="0"/>
  </r>
  <r>
    <x v="4"/>
    <x v="46"/>
    <s v="7741"/>
    <s v="Rudkøbing Sogn"/>
    <x v="1011"/>
    <x v="0"/>
  </r>
  <r>
    <x v="4"/>
    <x v="46"/>
    <s v="7741"/>
    <s v="Rudkøbing Sogn"/>
    <x v="1012"/>
    <x v="0"/>
  </r>
  <r>
    <x v="4"/>
    <x v="46"/>
    <s v="7742"/>
    <s v="Simmerbølle Sogn"/>
    <x v="1013"/>
    <x v="0"/>
  </r>
  <r>
    <x v="4"/>
    <x v="46"/>
    <s v="7743"/>
    <s v="Skrøbelev Sogn"/>
    <x v="1014"/>
    <x v="0"/>
  </r>
  <r>
    <x v="4"/>
    <x v="46"/>
    <s v="7744"/>
    <s v="Tranekær Sogn"/>
    <x v="1015"/>
    <x v="0"/>
  </r>
  <r>
    <x v="4"/>
    <x v="46"/>
    <s v="7745"/>
    <s v="Tullebølle Sogn"/>
    <x v="1016"/>
    <x v="0"/>
  </r>
  <r>
    <x v="4"/>
    <x v="46"/>
    <s v="9254"/>
    <s v="Bagenkop Sogn"/>
    <x v="1017"/>
    <x v="0"/>
  </r>
  <r>
    <x v="4"/>
    <x v="47"/>
    <s v="7724"/>
    <s v="Nyborg Sogn"/>
    <x v="117"/>
    <x v="0"/>
  </r>
  <r>
    <x v="4"/>
    <x v="47"/>
    <s v="7724"/>
    <s v="Nyborg Sogn"/>
    <x v="1018"/>
    <x v="0"/>
  </r>
  <r>
    <x v="4"/>
    <x v="47"/>
    <s v="7724"/>
    <s v="Nyborg Sogn"/>
    <x v="1019"/>
    <x v="3"/>
  </r>
  <r>
    <x v="4"/>
    <x v="47"/>
    <s v="7725"/>
    <s v="Aunslev Sogn"/>
    <x v="1020"/>
    <x v="0"/>
  </r>
  <r>
    <x v="4"/>
    <x v="47"/>
    <s v="7726"/>
    <s v="Bovense Sogn"/>
    <x v="1021"/>
    <x v="0"/>
  </r>
  <r>
    <x v="4"/>
    <x v="47"/>
    <s v="7727"/>
    <s v="Flødstrup Sogn"/>
    <x v="117"/>
    <x v="0"/>
  </r>
  <r>
    <x v="4"/>
    <x v="47"/>
    <s v="7728"/>
    <s v="Ullerslev Sogn"/>
    <x v="1022"/>
    <x v="0"/>
  </r>
  <r>
    <x v="4"/>
    <x v="47"/>
    <s v="7731"/>
    <s v="Kullerup Sogn"/>
    <x v="1023"/>
    <x v="0"/>
  </r>
  <r>
    <x v="4"/>
    <x v="47"/>
    <s v="7732"/>
    <s v="Refsvindinge Sogn"/>
    <x v="1024"/>
    <x v="0"/>
  </r>
  <r>
    <x v="4"/>
    <x v="47"/>
    <s v="7733"/>
    <s v="Vindinge Sogn"/>
    <x v="372"/>
    <x v="0"/>
  </r>
  <r>
    <x v="4"/>
    <x v="47"/>
    <s v="7733"/>
    <s v="Vindinge Sogn"/>
    <x v="1025"/>
    <x v="0"/>
  </r>
  <r>
    <x v="4"/>
    <x v="47"/>
    <s v="7734"/>
    <s v="Frørup Sogn"/>
    <x v="1026"/>
    <x v="0"/>
  </r>
  <r>
    <x v="4"/>
    <x v="47"/>
    <s v="7735"/>
    <s v="Ørbæk Sogn"/>
    <x v="1027"/>
    <x v="0"/>
  </r>
  <r>
    <x v="4"/>
    <x v="47"/>
    <s v="7736"/>
    <s v="Herrested Sogn"/>
    <x v="1028"/>
    <x v="2"/>
  </r>
  <r>
    <x v="4"/>
    <x v="47"/>
    <s v="7736"/>
    <s v="Herrested Sogn"/>
    <x v="1029"/>
    <x v="0"/>
  </r>
  <r>
    <x v="4"/>
    <x v="47"/>
    <s v="7769"/>
    <s v="Ellested Sogn"/>
    <x v="1030"/>
    <x v="0"/>
  </r>
  <r>
    <x v="4"/>
    <x v="47"/>
    <s v="7770"/>
    <s v="Langå Sogn"/>
    <x v="1031"/>
    <x v="0"/>
  </r>
  <r>
    <x v="4"/>
    <x v="47"/>
    <s v="7771"/>
    <s v="Øksendrup Sogn"/>
    <x v="1032"/>
    <x v="0"/>
  </r>
  <r>
    <x v="4"/>
    <x v="47"/>
    <s v="7773"/>
    <s v="Svindinge Sogn"/>
    <x v="1033"/>
    <x v="0"/>
  </r>
  <r>
    <x v="4"/>
    <x v="47"/>
    <s v="7798"/>
    <s v="Munkebo Sogn"/>
    <x v="1034"/>
    <x v="0"/>
  </r>
  <r>
    <x v="4"/>
    <x v="47"/>
    <s v="7800"/>
    <s v="Kølstrup Sogn"/>
    <x v="1035"/>
    <x v="0"/>
  </r>
  <r>
    <x v="4"/>
    <x v="47"/>
    <s v="7869"/>
    <s v="Marslev Sogn"/>
    <x v="1036"/>
    <x v="0"/>
  </r>
  <r>
    <x v="4"/>
    <x v="47"/>
    <s v="7870"/>
    <s v="Birkende Sogn"/>
    <x v="1037"/>
    <x v="0"/>
  </r>
  <r>
    <x v="4"/>
    <x v="47"/>
    <s v="7871"/>
    <s v="Rynkeby Sogn"/>
    <x v="1038"/>
    <x v="0"/>
  </r>
  <r>
    <x v="4"/>
    <x v="47"/>
    <s v="7872"/>
    <s v="Revninge Sogn"/>
    <x v="1039"/>
    <x v="0"/>
  </r>
  <r>
    <x v="4"/>
    <x v="47"/>
    <s v="7873"/>
    <s v="Mesinge Sogn"/>
    <x v="1040"/>
    <x v="0"/>
  </r>
  <r>
    <x v="4"/>
    <x v="47"/>
    <s v="7874"/>
    <s v="Viby Sogn"/>
    <x v="1041"/>
    <x v="0"/>
  </r>
  <r>
    <x v="4"/>
    <x v="47"/>
    <s v="7875"/>
    <s v="Dalby Sogn"/>
    <x v="563"/>
    <x v="0"/>
  </r>
  <r>
    <x v="4"/>
    <x v="47"/>
    <s v="7875"/>
    <s v="Dalby Sogn"/>
    <x v="1042"/>
    <x v="2"/>
  </r>
  <r>
    <x v="4"/>
    <x v="47"/>
    <s v="7876"/>
    <s v="Stubberup Sogn"/>
    <x v="1043"/>
    <x v="0"/>
  </r>
  <r>
    <x v="4"/>
    <x v="47"/>
    <s v="7882"/>
    <s v="Rønninge Sogn"/>
    <x v="1044"/>
    <x v="0"/>
  </r>
  <r>
    <x v="4"/>
    <x v="47"/>
    <s v="9256"/>
    <s v="Taarup Sogn"/>
    <x v="1045"/>
    <x v="0"/>
  </r>
  <r>
    <x v="4"/>
    <x v="47"/>
    <s v="9257"/>
    <s v="Hjulby Sogn"/>
    <x v="1046"/>
    <x v="0"/>
  </r>
  <r>
    <x v="4"/>
    <x v="47"/>
    <s v="9293"/>
    <s v="Kerteminde-Drigstrup Sogn"/>
    <x v="1047"/>
    <x v="0"/>
  </r>
  <r>
    <x v="4"/>
    <x v="47"/>
    <s v="9293"/>
    <s v="Kerteminde-Drigstrup Sogn"/>
    <x v="1048"/>
    <x v="0"/>
  </r>
  <r>
    <x v="4"/>
    <x v="47"/>
    <s v="9293"/>
    <s v="Kerteminde-Drigstrup Sogn"/>
    <x v="1049"/>
    <x v="0"/>
  </r>
  <r>
    <x v="4"/>
    <x v="47"/>
    <s v="9293"/>
    <s v="Kerteminde-Drigstrup Sogn"/>
    <x v="1050"/>
    <x v="2"/>
  </r>
  <r>
    <x v="4"/>
    <x v="47"/>
    <s v="9360"/>
    <s v="Skellerup-Ellinge Sogn"/>
    <x v="1051"/>
    <x v="0"/>
  </r>
  <r>
    <x v="4"/>
    <x v="47"/>
    <s v="9360"/>
    <s v="Skellerup-Ellinge Sogn"/>
    <x v="1052"/>
    <x v="0"/>
  </r>
  <r>
    <x v="5"/>
    <x v="48"/>
    <s v="8364"/>
    <s v="Budolfi Sogn"/>
    <x v="779"/>
    <x v="1"/>
  </r>
  <r>
    <x v="5"/>
    <x v="48"/>
    <s v="8364"/>
    <s v="Budolfi Sogn"/>
    <x v="1053"/>
    <x v="0"/>
  </r>
  <r>
    <x v="5"/>
    <x v="48"/>
    <s v="8365"/>
    <s v="Ansgars Sogn"/>
    <x v="1054"/>
    <x v="0"/>
  </r>
  <r>
    <x v="5"/>
    <x v="48"/>
    <s v="8365"/>
    <s v="Ansgars Sogn"/>
    <x v="1055"/>
    <x v="0"/>
  </r>
  <r>
    <x v="5"/>
    <x v="48"/>
    <s v="8365"/>
    <s v="Ansgars Sogn"/>
    <x v="1056"/>
    <x v="0"/>
  </r>
  <r>
    <x v="5"/>
    <x v="48"/>
    <s v="8366"/>
    <s v="Vor Frelsers Sogn"/>
    <x v="86"/>
    <x v="0"/>
  </r>
  <r>
    <x v="5"/>
    <x v="48"/>
    <s v="8367"/>
    <s v="Vesterkær Sogn"/>
    <x v="1057"/>
    <x v="0"/>
  </r>
  <r>
    <x v="5"/>
    <x v="48"/>
    <s v="8368"/>
    <s v="Vor Frue Sogn"/>
    <x v="117"/>
    <x v="0"/>
  </r>
  <r>
    <x v="5"/>
    <x v="48"/>
    <s v="8369"/>
    <s v="Sankt Markus Sogn"/>
    <x v="24"/>
    <x v="0"/>
  </r>
  <r>
    <x v="5"/>
    <x v="48"/>
    <s v="8372"/>
    <s v="Vejgaard Sogn"/>
    <x v="1058"/>
    <x v="0"/>
  </r>
  <r>
    <x v="5"/>
    <x v="48"/>
    <s v="8372"/>
    <s v="Vejgaard Sogn"/>
    <x v="1059"/>
    <x v="0"/>
  </r>
  <r>
    <x v="5"/>
    <x v="48"/>
    <s v="8373"/>
    <s v="Hans Egedes Sogn"/>
    <x v="1060"/>
    <x v="0"/>
  </r>
  <r>
    <x v="5"/>
    <x v="48"/>
    <s v="8374"/>
    <s v="Hasseris Sogn"/>
    <x v="1061"/>
    <x v="0"/>
  </r>
  <r>
    <x v="5"/>
    <x v="48"/>
    <s v="9110"/>
    <s v="Margrethe Sogn"/>
    <x v="83"/>
    <x v="0"/>
  </r>
  <r>
    <x v="5"/>
    <x v="48"/>
    <s v="9110"/>
    <s v="Margrethe Sogn"/>
    <x v="1062"/>
    <x v="0"/>
  </r>
  <r>
    <x v="5"/>
    <x v="49"/>
    <s v="8375"/>
    <s v="Nørresundby Sogn"/>
    <x v="1063"/>
    <x v="0"/>
  </r>
  <r>
    <x v="5"/>
    <x v="49"/>
    <s v="8375"/>
    <s v="Nørresundby Sogn"/>
    <x v="1064"/>
    <x v="0"/>
  </r>
  <r>
    <x v="5"/>
    <x v="49"/>
    <s v="8375"/>
    <s v="Nørresundby Sogn"/>
    <x v="1065"/>
    <x v="0"/>
  </r>
  <r>
    <x v="5"/>
    <x v="49"/>
    <s v="8376"/>
    <s v="Hvorup Sogn"/>
    <x v="1066"/>
    <x v="0"/>
  </r>
  <r>
    <x v="5"/>
    <x v="49"/>
    <s v="8376"/>
    <s v="Hvorup Sogn"/>
    <x v="1067"/>
    <x v="0"/>
  </r>
  <r>
    <x v="5"/>
    <x v="49"/>
    <s v="8376"/>
    <s v="Hvorup Sogn"/>
    <x v="1068"/>
    <x v="0"/>
  </r>
  <r>
    <x v="5"/>
    <x v="49"/>
    <s v="8377"/>
    <s v="Lindholm Sogn"/>
    <x v="1069"/>
    <x v="0"/>
  </r>
  <r>
    <x v="5"/>
    <x v="49"/>
    <s v="8377"/>
    <s v="Lindholm Sogn"/>
    <x v="1070"/>
    <x v="0"/>
  </r>
  <r>
    <x v="5"/>
    <x v="49"/>
    <s v="8378"/>
    <s v="Vadum Sogn"/>
    <x v="1071"/>
    <x v="0"/>
  </r>
  <r>
    <x v="5"/>
    <x v="49"/>
    <s v="8378"/>
    <s v="Vadum Sogn"/>
    <x v="1072"/>
    <x v="0"/>
  </r>
  <r>
    <x v="5"/>
    <x v="49"/>
    <s v="8381"/>
    <s v="Sulsted Sogn"/>
    <x v="1073"/>
    <x v="0"/>
  </r>
  <r>
    <x v="5"/>
    <x v="49"/>
    <s v="8381"/>
    <s v="Sulsted Sogn"/>
    <x v="1074"/>
    <x v="0"/>
  </r>
  <r>
    <x v="5"/>
    <x v="49"/>
    <s v="8382"/>
    <s v="Ajstrup Sogn"/>
    <x v="1075"/>
    <x v="0"/>
  </r>
  <r>
    <x v="5"/>
    <x v="49"/>
    <s v="8383"/>
    <s v="Horsens Sogn"/>
    <x v="1076"/>
    <x v="0"/>
  </r>
  <r>
    <x v="5"/>
    <x v="49"/>
    <s v="8383"/>
    <s v="Horsens Sogn"/>
    <x v="1077"/>
    <x v="0"/>
  </r>
  <r>
    <x v="5"/>
    <x v="49"/>
    <s v="8384"/>
    <s v="Hammer Sogn"/>
    <x v="606"/>
    <x v="0"/>
  </r>
  <r>
    <x v="5"/>
    <x v="49"/>
    <s v="8385"/>
    <s v="Vester Hassing Sogn"/>
    <x v="1078"/>
    <x v="0"/>
  </r>
  <r>
    <x v="5"/>
    <x v="49"/>
    <s v="8386"/>
    <s v="Ulsted Sogn"/>
    <x v="1079"/>
    <x v="0"/>
  </r>
  <r>
    <x v="5"/>
    <x v="49"/>
    <s v="8387"/>
    <s v="Hals Sogn"/>
    <x v="1080"/>
    <x v="0"/>
  </r>
  <r>
    <x v="5"/>
    <x v="49"/>
    <s v="9136"/>
    <s v="Vodskov Sogn"/>
    <x v="1081"/>
    <x v="0"/>
  </r>
  <r>
    <x v="5"/>
    <x v="49"/>
    <s v="9136"/>
    <s v="Vodskov Sogn"/>
    <x v="1082"/>
    <x v="0"/>
  </r>
  <r>
    <x v="5"/>
    <x v="49"/>
    <s v="9197"/>
    <s v="Øster Hassing-Gåser Sogn"/>
    <x v="1083"/>
    <x v="0"/>
  </r>
  <r>
    <x v="5"/>
    <x v="49"/>
    <s v="9197"/>
    <s v="Øster Hassing-Gåser Sogn"/>
    <x v="1084"/>
    <x v="0"/>
  </r>
  <r>
    <x v="5"/>
    <x v="49"/>
    <s v="9225"/>
    <s v="Hou Sogn"/>
    <x v="995"/>
    <x v="0"/>
  </r>
  <r>
    <x v="5"/>
    <x v="50"/>
    <s v="8276"/>
    <s v="Ejdrup Sogn"/>
    <x v="1085"/>
    <x v="0"/>
  </r>
  <r>
    <x v="5"/>
    <x v="50"/>
    <s v="8327"/>
    <s v="Nibe Sogn"/>
    <x v="1086"/>
    <x v="0"/>
  </r>
  <r>
    <x v="5"/>
    <x v="50"/>
    <s v="8327"/>
    <s v="Nibe Sogn"/>
    <x v="1087"/>
    <x v="0"/>
  </r>
  <r>
    <x v="5"/>
    <x v="50"/>
    <s v="8328"/>
    <s v="Vokslev Sogn"/>
    <x v="1088"/>
    <x v="0"/>
  </r>
  <r>
    <x v="5"/>
    <x v="50"/>
    <s v="8329"/>
    <s v="Sønderholm Sogn"/>
    <x v="1089"/>
    <x v="0"/>
  </r>
  <r>
    <x v="5"/>
    <x v="50"/>
    <s v="8330"/>
    <s v="Frejlev Sogn"/>
    <x v="1090"/>
    <x v="0"/>
  </r>
  <r>
    <x v="5"/>
    <x v="50"/>
    <s v="8331"/>
    <s v="Nørholm Sogn"/>
    <x v="1091"/>
    <x v="0"/>
  </r>
  <r>
    <x v="5"/>
    <x v="50"/>
    <s v="8332"/>
    <s v="Ellidshøj Sogn"/>
    <x v="1092"/>
    <x v="0"/>
  </r>
  <r>
    <x v="5"/>
    <x v="50"/>
    <s v="8333"/>
    <s v="Svenstrup Sogn"/>
    <x v="1093"/>
    <x v="0"/>
  </r>
  <r>
    <x v="5"/>
    <x v="50"/>
    <s v="8342"/>
    <s v="Bislev Sogn"/>
    <x v="1094"/>
    <x v="0"/>
  </r>
  <r>
    <x v="5"/>
    <x v="50"/>
    <s v="8356"/>
    <s v="Sebber Sogn"/>
    <x v="1095"/>
    <x v="0"/>
  </r>
  <r>
    <x v="5"/>
    <x v="50"/>
    <s v="8357"/>
    <s v="Store Ajstrup Sogn"/>
    <x v="1096"/>
    <x v="0"/>
  </r>
  <r>
    <x v="5"/>
    <x v="50"/>
    <s v="8362"/>
    <s v="Farstrup Sogn"/>
    <x v="1097"/>
    <x v="0"/>
  </r>
  <r>
    <x v="5"/>
    <x v="50"/>
    <s v="8363"/>
    <s v="Lundby Sogn"/>
    <x v="644"/>
    <x v="0"/>
  </r>
  <r>
    <x v="5"/>
    <x v="50"/>
    <s v="8388"/>
    <s v="Ferslev Sogn"/>
    <x v="239"/>
    <x v="0"/>
  </r>
  <r>
    <x v="5"/>
    <x v="50"/>
    <s v="8389"/>
    <s v="Dall Sogn"/>
    <x v="1098"/>
    <x v="0"/>
  </r>
  <r>
    <x v="5"/>
    <x v="50"/>
    <s v="8390"/>
    <s v="Volsted Sogn"/>
    <x v="1099"/>
    <x v="0"/>
  </r>
  <r>
    <x v="5"/>
    <x v="50"/>
    <s v="9107"/>
    <s v="Godthåb Sogn"/>
    <x v="1100"/>
    <x v="0"/>
  </r>
  <r>
    <x v="5"/>
    <x v="51"/>
    <s v="8303"/>
    <s v="Als Sogn"/>
    <x v="1101"/>
    <x v="0"/>
  </r>
  <r>
    <x v="5"/>
    <x v="51"/>
    <s v="8304"/>
    <s v="Skelund Sogn"/>
    <x v="1102"/>
    <x v="0"/>
  </r>
  <r>
    <x v="5"/>
    <x v="51"/>
    <s v="8305"/>
    <s v="Visborg Sogn"/>
    <x v="1103"/>
    <x v="0"/>
  </r>
  <r>
    <x v="5"/>
    <x v="51"/>
    <s v="8308"/>
    <s v="Rostrup Sogn"/>
    <x v="1104"/>
    <x v="0"/>
  </r>
  <r>
    <x v="5"/>
    <x v="51"/>
    <s v="8309"/>
    <s v="Oue Sogn"/>
    <x v="1105"/>
    <x v="0"/>
  </r>
  <r>
    <x v="5"/>
    <x v="51"/>
    <s v="8310"/>
    <s v="Valsgaard Sogn"/>
    <x v="1106"/>
    <x v="0"/>
  </r>
  <r>
    <x v="5"/>
    <x v="51"/>
    <s v="8311"/>
    <s v="Astrup Sogn"/>
    <x v="1107"/>
    <x v="0"/>
  </r>
  <r>
    <x v="5"/>
    <x v="51"/>
    <s v="8313"/>
    <s v="Rold Sogn"/>
    <x v="1108"/>
    <x v="0"/>
  </r>
  <r>
    <x v="5"/>
    <x v="51"/>
    <s v="8314"/>
    <s v="Vebbestrup Sogn"/>
    <x v="1109"/>
    <x v="0"/>
  </r>
  <r>
    <x v="5"/>
    <x v="51"/>
    <s v="9184"/>
    <s v="Arden Sogn"/>
    <x v="1110"/>
    <x v="0"/>
  </r>
  <r>
    <x v="5"/>
    <x v="51"/>
    <s v="9184"/>
    <s v="Arden Sogn"/>
    <x v="1111"/>
    <x v="0"/>
  </r>
  <r>
    <x v="5"/>
    <x v="51"/>
    <s v="9191"/>
    <s v="Vive-Hadsund Sogn"/>
    <x v="1112"/>
    <x v="0"/>
  </r>
  <r>
    <x v="5"/>
    <x v="51"/>
    <s v="9191"/>
    <s v="Vive-Hadsund Sogn"/>
    <x v="1113"/>
    <x v="0"/>
  </r>
  <r>
    <x v="5"/>
    <x v="51"/>
    <s v="9216"/>
    <s v="Øster Hurup Sogn"/>
    <x v="1114"/>
    <x v="0"/>
  </r>
  <r>
    <x v="5"/>
    <x v="52"/>
    <s v="8402"/>
    <s v="Brønderslev Sogn"/>
    <x v="1115"/>
    <x v="1"/>
  </r>
  <r>
    <x v="5"/>
    <x v="52"/>
    <s v="8402"/>
    <s v="Brønderslev Sogn"/>
    <x v="1116"/>
    <x v="0"/>
  </r>
  <r>
    <x v="5"/>
    <x v="52"/>
    <s v="8403"/>
    <s v="Serritslev Sogn"/>
    <x v="1117"/>
    <x v="0"/>
  </r>
  <r>
    <x v="5"/>
    <x v="52"/>
    <s v="8411"/>
    <s v="Tise Sogn"/>
    <x v="1118"/>
    <x v="0"/>
  </r>
  <r>
    <x v="5"/>
    <x v="52"/>
    <s v="8412"/>
    <s v="Tolstrup Sogn"/>
    <x v="1119"/>
    <x v="0"/>
  </r>
  <r>
    <x v="5"/>
    <x v="52"/>
    <s v="8413"/>
    <s v="Stenum Sogn"/>
    <x v="1120"/>
    <x v="0"/>
  </r>
  <r>
    <x v="5"/>
    <x v="52"/>
    <s v="8416"/>
    <s v="Jerslev Sogn"/>
    <x v="1121"/>
    <x v="0"/>
  </r>
  <r>
    <x v="5"/>
    <x v="52"/>
    <s v="8417"/>
    <s v="Hellum Sogn"/>
    <x v="1122"/>
    <x v="0"/>
  </r>
  <r>
    <x v="5"/>
    <x v="52"/>
    <s v="8418"/>
    <s v="Øster Brønderslev Sogn"/>
    <x v="1123"/>
    <x v="0"/>
  </r>
  <r>
    <x v="5"/>
    <x v="52"/>
    <s v="8419"/>
    <s v="Hallund Sogn"/>
    <x v="1124"/>
    <x v="0"/>
  </r>
  <r>
    <x v="5"/>
    <x v="52"/>
    <s v="8427"/>
    <s v="Hjallerup Sogn"/>
    <x v="1125"/>
    <x v="0"/>
  </r>
  <r>
    <x v="5"/>
    <x v="52"/>
    <s v="8448"/>
    <s v="Voer Sogn"/>
    <x v="1126"/>
    <x v="0"/>
  </r>
  <r>
    <x v="5"/>
    <x v="52"/>
    <s v="8449"/>
    <s v="Hellevad Sogn"/>
    <x v="1127"/>
    <x v="0"/>
  </r>
  <r>
    <x v="5"/>
    <x v="52"/>
    <s v="8450"/>
    <s v="Ørum Sogn"/>
    <x v="1128"/>
    <x v="0"/>
  </r>
  <r>
    <x v="5"/>
    <x v="52"/>
    <s v="8451"/>
    <s v="Dronninglund Sogn"/>
    <x v="1129"/>
    <x v="0"/>
  </r>
  <r>
    <x v="5"/>
    <x v="52"/>
    <s v="8451"/>
    <s v="Dronninglund Sogn"/>
    <x v="1130"/>
    <x v="0"/>
  </r>
  <r>
    <x v="5"/>
    <x v="52"/>
    <s v="8452"/>
    <s v="Asaa Sogn"/>
    <x v="1131"/>
    <x v="0"/>
  </r>
  <r>
    <x v="5"/>
    <x v="52"/>
    <s v="9156"/>
    <s v="Agersted Sogn"/>
    <x v="1132"/>
    <x v="0"/>
  </r>
  <r>
    <x v="5"/>
    <x v="52"/>
    <s v="9220"/>
    <s v="Mylund Sogn"/>
    <x v="1133"/>
    <x v="0"/>
  </r>
  <r>
    <x v="5"/>
    <x v="52"/>
    <s v="9221"/>
    <s v="Øster Hjermitslev Sogn"/>
    <x v="1134"/>
    <x v="0"/>
  </r>
  <r>
    <x v="5"/>
    <x v="52"/>
    <s v="9223"/>
    <s v="Melholt Sogn"/>
    <x v="1135"/>
    <x v="0"/>
  </r>
  <r>
    <x v="5"/>
    <x v="52"/>
    <s v="9224"/>
    <s v="Dorf Sogn"/>
    <x v="1136"/>
    <x v="0"/>
  </r>
  <r>
    <x v="5"/>
    <x v="53"/>
    <s v="8428"/>
    <s v="Mosbjerg Sogn"/>
    <x v="1137"/>
    <x v="0"/>
  </r>
  <r>
    <x v="5"/>
    <x v="53"/>
    <s v="8429"/>
    <s v="Bindslev Sogn"/>
    <x v="1138"/>
    <x v="0"/>
  </r>
  <r>
    <x v="5"/>
    <x v="53"/>
    <s v="8431"/>
    <s v="Tolne Sogn"/>
    <x v="1139"/>
    <x v="0"/>
  </r>
  <r>
    <x v="5"/>
    <x v="53"/>
    <s v="8432"/>
    <s v="Hørmested Sogn"/>
    <x v="1140"/>
    <x v="0"/>
  </r>
  <r>
    <x v="5"/>
    <x v="53"/>
    <s v="8437"/>
    <s v="Byrum Sogn"/>
    <x v="1141"/>
    <x v="0"/>
  </r>
  <r>
    <x v="5"/>
    <x v="53"/>
    <s v="8438"/>
    <s v="Hals Sogn"/>
    <x v="1142"/>
    <x v="0"/>
  </r>
  <r>
    <x v="5"/>
    <x v="53"/>
    <s v="8439"/>
    <s v="Vesterø Sogn"/>
    <x v="1143"/>
    <x v="0"/>
  </r>
  <r>
    <x v="5"/>
    <x v="53"/>
    <s v="8457"/>
    <s v="Ugilt Sogn"/>
    <x v="1144"/>
    <x v="0"/>
  </r>
  <r>
    <x v="5"/>
    <x v="53"/>
    <s v="8459"/>
    <s v="Sindal Sogn"/>
    <x v="1145"/>
    <x v="0"/>
  </r>
  <r>
    <x v="5"/>
    <x v="53"/>
    <s v="8459"/>
    <s v="Sindal Sogn"/>
    <x v="1146"/>
    <x v="0"/>
  </r>
  <r>
    <x v="5"/>
    <x v="53"/>
    <s v="8460"/>
    <s v="Astrup Sogn"/>
    <x v="1107"/>
    <x v="0"/>
  </r>
  <r>
    <x v="5"/>
    <x v="53"/>
    <s v="8461"/>
    <s v="Bjergby Sogn"/>
    <x v="1147"/>
    <x v="0"/>
  </r>
  <r>
    <x v="5"/>
    <x v="53"/>
    <s v="8462"/>
    <s v="Mygdal Sogn"/>
    <x v="1148"/>
    <x v="0"/>
  </r>
  <r>
    <x v="5"/>
    <x v="53"/>
    <s v="8463"/>
    <s v="Horne Sogn"/>
    <x v="941"/>
    <x v="0"/>
  </r>
  <r>
    <x v="5"/>
    <x v="53"/>
    <s v="8464"/>
    <s v="Asdal Sogn"/>
    <x v="1149"/>
    <x v="0"/>
  </r>
  <r>
    <x v="5"/>
    <x v="53"/>
    <s v="8465"/>
    <s v="Hirtshals Sogn"/>
    <x v="1150"/>
    <x v="0"/>
  </r>
  <r>
    <x v="5"/>
    <x v="53"/>
    <s v="8465"/>
    <s v="Hirtshals Sogn"/>
    <x v="1151"/>
    <x v="1"/>
  </r>
  <r>
    <x v="5"/>
    <x v="53"/>
    <s v="8466"/>
    <s v="Tornby Sogn"/>
    <x v="1152"/>
    <x v="0"/>
  </r>
  <r>
    <x v="5"/>
    <x v="53"/>
    <s v="8467"/>
    <s v="Vidstrup Sogn"/>
    <x v="1153"/>
    <x v="0"/>
  </r>
  <r>
    <x v="5"/>
    <x v="53"/>
    <s v="8482"/>
    <s v="Tversted Sogn"/>
    <x v="1154"/>
    <x v="0"/>
  </r>
  <r>
    <x v="5"/>
    <x v="53"/>
    <s v="8483"/>
    <s v="Uggerby Sogn"/>
    <x v="1155"/>
    <x v="0"/>
  </r>
  <r>
    <x v="5"/>
    <x v="53"/>
    <s v="9063"/>
    <s v="Lendum Sogn"/>
    <x v="1156"/>
    <x v="0"/>
  </r>
  <r>
    <x v="5"/>
    <x v="53"/>
    <s v="9229"/>
    <s v="Sørig Sogn"/>
    <x v="1157"/>
    <x v="0"/>
  </r>
  <r>
    <x v="5"/>
    <x v="54"/>
    <s v="8430"/>
    <s v="Elling Sogn"/>
    <x v="1158"/>
    <x v="1"/>
  </r>
  <r>
    <x v="5"/>
    <x v="54"/>
    <s v="8430"/>
    <s v="Elling Sogn"/>
    <x v="1159"/>
    <x v="0"/>
  </r>
  <r>
    <x v="5"/>
    <x v="54"/>
    <s v="8433"/>
    <s v="Åsted Sogn"/>
    <x v="1160"/>
    <x v="0"/>
  </r>
  <r>
    <x v="5"/>
    <x v="54"/>
    <s v="8434"/>
    <s v="Skærum Sogn"/>
    <x v="1161"/>
    <x v="0"/>
  </r>
  <r>
    <x v="5"/>
    <x v="54"/>
    <s v="8435"/>
    <s v="Flade Sogn"/>
    <x v="1162"/>
    <x v="0"/>
  </r>
  <r>
    <x v="5"/>
    <x v="54"/>
    <s v="8435"/>
    <s v="Flade Sogn"/>
    <x v="1163"/>
    <x v="0"/>
  </r>
  <r>
    <x v="5"/>
    <x v="54"/>
    <s v="8436"/>
    <s v="Gærum Sogn"/>
    <x v="1164"/>
    <x v="0"/>
  </r>
  <r>
    <x v="5"/>
    <x v="54"/>
    <s v="8440"/>
    <s v="Sæby Sogn"/>
    <x v="1165"/>
    <x v="0"/>
  </r>
  <r>
    <x v="5"/>
    <x v="54"/>
    <s v="8440"/>
    <s v="Sæby Sogn"/>
    <x v="392"/>
    <x v="0"/>
  </r>
  <r>
    <x v="5"/>
    <x v="54"/>
    <s v="8441"/>
    <s v="Understed Sogn"/>
    <x v="1166"/>
    <x v="0"/>
  </r>
  <r>
    <x v="5"/>
    <x v="54"/>
    <s v="8442"/>
    <s v="Karup Sogn"/>
    <x v="1167"/>
    <x v="0"/>
  </r>
  <r>
    <x v="5"/>
    <x v="54"/>
    <s v="8443"/>
    <s v="Volstrup Sogn"/>
    <x v="1168"/>
    <x v="0"/>
  </r>
  <r>
    <x v="5"/>
    <x v="54"/>
    <s v="8444"/>
    <s v="Hørby Sogn"/>
    <x v="479"/>
    <x v="0"/>
  </r>
  <r>
    <x v="5"/>
    <x v="54"/>
    <s v="8444"/>
    <s v="Hørby Sogn"/>
    <x v="1169"/>
    <x v="1"/>
  </r>
  <r>
    <x v="5"/>
    <x v="54"/>
    <s v="8445"/>
    <s v="Torslev Sogn"/>
    <x v="1170"/>
    <x v="0"/>
  </r>
  <r>
    <x v="5"/>
    <x v="54"/>
    <s v="8446"/>
    <s v="Skæve Sogn"/>
    <x v="1171"/>
    <x v="0"/>
  </r>
  <r>
    <x v="5"/>
    <x v="54"/>
    <s v="8447"/>
    <s v="Albæk-Lyngså Sogn"/>
    <x v="1172"/>
    <x v="0"/>
  </r>
  <r>
    <x v="5"/>
    <x v="54"/>
    <s v="8447"/>
    <s v="Albæk-Lyngså Sogn"/>
    <x v="1173"/>
    <x v="0"/>
  </r>
  <r>
    <x v="5"/>
    <x v="54"/>
    <s v="8476"/>
    <s v="Frederikshavn Sogn"/>
    <x v="1174"/>
    <x v="1"/>
  </r>
  <r>
    <x v="5"/>
    <x v="54"/>
    <s v="8476"/>
    <s v="Frederikshavn Sogn"/>
    <x v="1175"/>
    <x v="0"/>
  </r>
  <r>
    <x v="5"/>
    <x v="54"/>
    <s v="8478"/>
    <s v="Abildgård Sogn"/>
    <x v="1176"/>
    <x v="1"/>
  </r>
  <r>
    <x v="5"/>
    <x v="54"/>
    <s v="8478"/>
    <s v="Abildgård Sogn"/>
    <x v="1177"/>
    <x v="0"/>
  </r>
  <r>
    <x v="5"/>
    <x v="54"/>
    <s v="8478"/>
    <s v="Abildgård Sogn"/>
    <x v="1178"/>
    <x v="0"/>
  </r>
  <r>
    <x v="5"/>
    <x v="54"/>
    <s v="8479"/>
    <s v="Bangsbostrand Sogn"/>
    <x v="1179"/>
    <x v="0"/>
  </r>
  <r>
    <x v="5"/>
    <x v="54"/>
    <s v="8480"/>
    <s v="Skagen Sogn"/>
    <x v="1180"/>
    <x v="0"/>
  </r>
  <r>
    <x v="5"/>
    <x v="54"/>
    <s v="8480"/>
    <s v="Skagen Sogn"/>
    <x v="1181"/>
    <x v="0"/>
  </r>
  <r>
    <x v="5"/>
    <x v="54"/>
    <s v="8481"/>
    <s v="Råbjerg Sogn"/>
    <x v="1182"/>
    <x v="1"/>
  </r>
  <r>
    <x v="5"/>
    <x v="54"/>
    <s v="8481"/>
    <s v="Råbjerg Sogn"/>
    <x v="1183"/>
    <x v="0"/>
  </r>
  <r>
    <x v="5"/>
    <x v="54"/>
    <s v="9226"/>
    <s v="Østervrå Sogn"/>
    <x v="1184"/>
    <x v="0"/>
  </r>
  <r>
    <x v="5"/>
    <x v="54"/>
    <s v="9228"/>
    <s v="Hulsig Sogn"/>
    <x v="1185"/>
    <x v="0"/>
  </r>
  <r>
    <x v="5"/>
    <x v="54"/>
    <s v="9230"/>
    <s v="Jerup Sogn"/>
    <x v="1186"/>
    <x v="0"/>
  </r>
  <r>
    <x v="5"/>
    <x v="54"/>
    <s v="9231"/>
    <s v="Kvissel Sogn"/>
    <x v="1187"/>
    <x v="0"/>
  </r>
  <r>
    <x v="5"/>
    <x v="55"/>
    <s v="8379"/>
    <s v="Aaby Sogn"/>
    <x v="1188"/>
    <x v="0"/>
  </r>
  <r>
    <x v="5"/>
    <x v="55"/>
    <s v="8380"/>
    <s v="Biersted Sogn"/>
    <x v="1189"/>
    <x v="0"/>
  </r>
  <r>
    <x v="5"/>
    <x v="55"/>
    <s v="8391"/>
    <s v="Lerup Sogn"/>
    <x v="1190"/>
    <x v="0"/>
  </r>
  <r>
    <x v="5"/>
    <x v="55"/>
    <s v="8392"/>
    <s v="Tranum Sogn"/>
    <x v="1191"/>
    <x v="0"/>
  </r>
  <r>
    <x v="5"/>
    <x v="55"/>
    <s v="8393"/>
    <s v="Brovst Sogn"/>
    <x v="1192"/>
    <x v="0"/>
  </r>
  <r>
    <x v="5"/>
    <x v="55"/>
    <s v="8394"/>
    <s v="Øland Sogn"/>
    <x v="1193"/>
    <x v="0"/>
  </r>
  <r>
    <x v="5"/>
    <x v="55"/>
    <s v="8395"/>
    <s v="Torslev Sogn"/>
    <x v="1170"/>
    <x v="0"/>
  </r>
  <r>
    <x v="5"/>
    <x v="55"/>
    <s v="8396"/>
    <s v="Øster Svenstrup Sogn"/>
    <x v="1194"/>
    <x v="0"/>
  </r>
  <r>
    <x v="5"/>
    <x v="55"/>
    <s v="8396"/>
    <s v="Øster Svenstrup Sogn"/>
    <x v="1195"/>
    <x v="0"/>
  </r>
  <r>
    <x v="5"/>
    <x v="55"/>
    <s v="8397"/>
    <s v="Haverslev Sogn"/>
    <x v="1196"/>
    <x v="0"/>
  </r>
  <r>
    <x v="5"/>
    <x v="55"/>
    <s v="8398"/>
    <s v="Skræm Sogn"/>
    <x v="1197"/>
    <x v="0"/>
  </r>
  <r>
    <x v="5"/>
    <x v="55"/>
    <s v="8400"/>
    <s v="Bejstrup Sogn"/>
    <x v="1198"/>
    <x v="0"/>
  </r>
  <r>
    <x v="5"/>
    <x v="55"/>
    <s v="8401"/>
    <s v="Vedsted Sogn"/>
    <x v="1199"/>
    <x v="0"/>
  </r>
  <r>
    <x v="5"/>
    <x v="55"/>
    <s v="8420"/>
    <s v="Ingstrup Sogn"/>
    <x v="1200"/>
    <x v="0"/>
  </r>
  <r>
    <x v="5"/>
    <x v="55"/>
    <s v="8421"/>
    <s v="Vester Hjermitslev Sogn"/>
    <x v="1201"/>
    <x v="0"/>
  </r>
  <r>
    <x v="5"/>
    <x v="55"/>
    <s v="8422"/>
    <s v="Saltum Sogn"/>
    <x v="1202"/>
    <x v="0"/>
  </r>
  <r>
    <x v="5"/>
    <x v="55"/>
    <s v="8423"/>
    <s v="Alstrup Sogn"/>
    <x v="1203"/>
    <x v="0"/>
  </r>
  <r>
    <x v="5"/>
    <x v="55"/>
    <s v="8424"/>
    <s v="Jetsmark Sogn"/>
    <x v="1204"/>
    <x v="0"/>
  </r>
  <r>
    <x v="5"/>
    <x v="55"/>
    <s v="8424"/>
    <s v="Jetsmark Sogn"/>
    <x v="1205"/>
    <x v="0"/>
  </r>
  <r>
    <x v="5"/>
    <x v="55"/>
    <s v="8425"/>
    <s v="Hune Sogn"/>
    <x v="1206"/>
    <x v="0"/>
  </r>
  <r>
    <x v="5"/>
    <x v="55"/>
    <s v="8425"/>
    <s v="Hune Sogn"/>
    <x v="1207"/>
    <x v="1"/>
  </r>
  <r>
    <x v="5"/>
    <x v="55"/>
    <s v="8426"/>
    <s v="Gjøl Sogn"/>
    <x v="1208"/>
    <x v="0"/>
  </r>
  <r>
    <x v="5"/>
    <x v="55"/>
    <s v="8710"/>
    <s v="Hjortdal Sogn"/>
    <x v="1209"/>
    <x v="0"/>
  </r>
  <r>
    <x v="5"/>
    <x v="55"/>
    <s v="8711"/>
    <s v="Klim Sogn"/>
    <x v="1210"/>
    <x v="0"/>
  </r>
  <r>
    <x v="5"/>
    <x v="55"/>
    <s v="8711"/>
    <s v="Klim Sogn"/>
    <x v="1211"/>
    <x v="0"/>
  </r>
  <r>
    <x v="5"/>
    <x v="55"/>
    <s v="8712"/>
    <s v="Vester Torup Sogn"/>
    <x v="259"/>
    <x v="0"/>
  </r>
  <r>
    <x v="5"/>
    <x v="55"/>
    <s v="8713"/>
    <s v="Vust Sogn"/>
    <x v="1212"/>
    <x v="0"/>
  </r>
  <r>
    <x v="5"/>
    <x v="55"/>
    <s v="8716"/>
    <s v="Kettrup Sogn"/>
    <x v="1213"/>
    <x v="0"/>
  </r>
  <r>
    <x v="5"/>
    <x v="55"/>
    <s v="8717"/>
    <s v="Gøttrup Sogn"/>
    <x v="1214"/>
    <x v="0"/>
  </r>
  <r>
    <x v="5"/>
    <x v="55"/>
    <s v="9150"/>
    <s v="Langeslund Sogn"/>
    <x v="1215"/>
    <x v="0"/>
  </r>
  <r>
    <x v="5"/>
    <x v="55"/>
    <s v="9180"/>
    <s v="Kollerup-Fjerritslev Sogn"/>
    <x v="1216"/>
    <x v="0"/>
  </r>
  <r>
    <x v="5"/>
    <x v="55"/>
    <s v="9180"/>
    <s v="Kollerup-Fjerritslev Sogn"/>
    <x v="1217"/>
    <x v="0"/>
  </r>
  <r>
    <x v="5"/>
    <x v="55"/>
    <s v="9234"/>
    <s v="Koldmose Sogn"/>
    <x v="1218"/>
    <x v="0"/>
  </r>
  <r>
    <x v="5"/>
    <x v="56"/>
    <s v="8642"/>
    <s v="Hillerslev Sogn"/>
    <x v="978"/>
    <x v="0"/>
  </r>
  <r>
    <x v="5"/>
    <x v="56"/>
    <s v="8643"/>
    <s v="Kåstrup Sogn"/>
    <x v="1219"/>
    <x v="0"/>
  </r>
  <r>
    <x v="5"/>
    <x v="56"/>
    <s v="8644"/>
    <s v="Sennels Sogn"/>
    <x v="1220"/>
    <x v="0"/>
  </r>
  <r>
    <x v="5"/>
    <x v="56"/>
    <s v="8645"/>
    <s v="Hunstrup Sogn"/>
    <x v="1221"/>
    <x v="0"/>
  </r>
  <r>
    <x v="5"/>
    <x v="56"/>
    <s v="8646"/>
    <s v="Østerild Sogn"/>
    <x v="1222"/>
    <x v="0"/>
  </r>
  <r>
    <x v="5"/>
    <x v="56"/>
    <s v="8647"/>
    <s v="Hjardemål Sogn"/>
    <x v="1223"/>
    <x v="0"/>
  </r>
  <r>
    <x v="5"/>
    <x v="56"/>
    <s v="8647"/>
    <s v="Hjardemål Sogn"/>
    <x v="1224"/>
    <x v="0"/>
  </r>
  <r>
    <x v="5"/>
    <x v="56"/>
    <s v="8714"/>
    <s v="Tømmerby Sogn"/>
    <x v="1225"/>
    <x v="0"/>
  </r>
  <r>
    <x v="5"/>
    <x v="56"/>
    <s v="8715"/>
    <s v="Lild Sogn"/>
    <x v="1226"/>
    <x v="0"/>
  </r>
  <r>
    <x v="5"/>
    <x v="56"/>
    <s v="8715"/>
    <s v="Lild Sogn"/>
    <x v="1227"/>
    <x v="1"/>
  </r>
  <r>
    <x v="5"/>
    <x v="56"/>
    <s v="8718"/>
    <s v="Øsløs Sogn"/>
    <x v="1228"/>
    <x v="0"/>
  </r>
  <r>
    <x v="5"/>
    <x v="56"/>
    <s v="8719"/>
    <s v="Vesløs Sogn"/>
    <x v="1229"/>
    <x v="2"/>
  </r>
  <r>
    <x v="5"/>
    <x v="56"/>
    <s v="8719"/>
    <s v="Vesløs Sogn"/>
    <x v="1230"/>
    <x v="0"/>
  </r>
  <r>
    <x v="5"/>
    <x v="56"/>
    <s v="8720"/>
    <s v="Arup Sogn"/>
    <x v="1231"/>
    <x v="0"/>
  </r>
  <r>
    <x v="5"/>
    <x v="56"/>
    <s v="8721"/>
    <s v="Thisted Sogn"/>
    <x v="1232"/>
    <x v="0"/>
  </r>
  <r>
    <x v="5"/>
    <x v="56"/>
    <s v="8721"/>
    <s v="Thisted Sogn"/>
    <x v="1233"/>
    <x v="0"/>
  </r>
  <r>
    <x v="5"/>
    <x v="56"/>
    <s v="8721"/>
    <s v="Thisted Sogn"/>
    <x v="1234"/>
    <x v="0"/>
  </r>
  <r>
    <x v="5"/>
    <x v="56"/>
    <s v="8722"/>
    <s v="Tilsted Sogn"/>
    <x v="1235"/>
    <x v="0"/>
  </r>
  <r>
    <x v="5"/>
    <x v="56"/>
    <s v="8723"/>
    <s v="Skinnerup Sogn"/>
    <x v="1236"/>
    <x v="0"/>
  </r>
  <r>
    <x v="5"/>
    <x v="56"/>
    <s v="8724"/>
    <s v="Sjørring Sogn"/>
    <x v="1237"/>
    <x v="0"/>
  </r>
  <r>
    <x v="5"/>
    <x v="56"/>
    <s v="8725"/>
    <s v="Thorsted Sogn"/>
    <x v="1238"/>
    <x v="0"/>
  </r>
  <r>
    <x v="5"/>
    <x v="56"/>
    <s v="8726"/>
    <s v="Skjoldborg Sogn"/>
    <x v="1239"/>
    <x v="0"/>
  </r>
  <r>
    <x v="5"/>
    <x v="56"/>
    <s v="8727"/>
    <s v="Kallerup Sogn"/>
    <x v="1240"/>
    <x v="0"/>
  </r>
  <r>
    <x v="5"/>
    <x v="56"/>
    <s v="8728"/>
    <s v="Hundborg Sogn"/>
    <x v="1241"/>
    <x v="0"/>
  </r>
  <r>
    <x v="5"/>
    <x v="56"/>
    <s v="8729"/>
    <s v="Jannerup Sogn"/>
    <x v="1242"/>
    <x v="0"/>
  </r>
  <r>
    <x v="5"/>
    <x v="56"/>
    <s v="8730"/>
    <s v="Vang Sogn"/>
    <x v="1243"/>
    <x v="0"/>
  </r>
  <r>
    <x v="5"/>
    <x v="56"/>
    <s v="8731"/>
    <s v="Ræhr Sogn"/>
    <x v="1244"/>
    <x v="0"/>
  </r>
  <r>
    <x v="5"/>
    <x v="56"/>
    <s v="8732"/>
    <s v="Hansted Sogn"/>
    <x v="1245"/>
    <x v="0"/>
  </r>
  <r>
    <x v="5"/>
    <x v="56"/>
    <s v="8733"/>
    <s v="Vigsø Sogn"/>
    <x v="1246"/>
    <x v="0"/>
  </r>
  <r>
    <x v="5"/>
    <x v="56"/>
    <s v="8734"/>
    <s v="Nors Sogn"/>
    <x v="1247"/>
    <x v="0"/>
  </r>
  <r>
    <x v="5"/>
    <x v="56"/>
    <s v="8735"/>
    <s v="Tved Sogn"/>
    <x v="905"/>
    <x v="0"/>
  </r>
  <r>
    <x v="5"/>
    <x v="56"/>
    <s v="8736"/>
    <s v="Vester Vandet Sogn"/>
    <x v="1248"/>
    <x v="0"/>
  </r>
  <r>
    <x v="5"/>
    <x v="56"/>
    <s v="8737"/>
    <s v="Øster Vandet Sogn"/>
    <x v="1249"/>
    <x v="0"/>
  </r>
  <r>
    <x v="5"/>
    <x v="56"/>
    <s v="9127"/>
    <s v="Klitmøller Sogn"/>
    <x v="1250"/>
    <x v="0"/>
  </r>
  <r>
    <x v="5"/>
    <x v="56"/>
    <s v="9129"/>
    <s v="Vorupør Sogn"/>
    <x v="1251"/>
    <x v="0"/>
  </r>
  <r>
    <x v="5"/>
    <x v="57"/>
    <s v="8648"/>
    <s v="Vestervig Sogn"/>
    <x v="1252"/>
    <x v="0"/>
  </r>
  <r>
    <x v="5"/>
    <x v="57"/>
    <s v="8649"/>
    <s v="Agger Sogn"/>
    <x v="1253"/>
    <x v="0"/>
  </r>
  <r>
    <x v="5"/>
    <x v="57"/>
    <s v="8650"/>
    <s v="Hurup Sogn"/>
    <x v="1254"/>
    <x v="0"/>
  </r>
  <r>
    <x v="5"/>
    <x v="57"/>
    <s v="8650"/>
    <s v="Hurup Sogn"/>
    <x v="1255"/>
    <x v="0"/>
  </r>
  <r>
    <x v="5"/>
    <x v="57"/>
    <s v="8651"/>
    <s v="Boddum Sogn"/>
    <x v="1256"/>
    <x v="0"/>
  </r>
  <r>
    <x v="5"/>
    <x v="57"/>
    <s v="8652"/>
    <s v="Ydby Sogn"/>
    <x v="1257"/>
    <x v="0"/>
  </r>
  <r>
    <x v="5"/>
    <x v="57"/>
    <s v="8660"/>
    <s v="Snedsted Sogn"/>
    <x v="1258"/>
    <x v="0"/>
  </r>
  <r>
    <x v="5"/>
    <x v="57"/>
    <s v="8661"/>
    <s v="Nørhå Sogn"/>
    <x v="1259"/>
    <x v="0"/>
  </r>
  <r>
    <x v="5"/>
    <x v="57"/>
    <s v="8662"/>
    <s v="Sønderhå Sogn"/>
    <x v="1260"/>
    <x v="0"/>
  </r>
  <r>
    <x v="5"/>
    <x v="57"/>
    <s v="8663"/>
    <s v="Hørsted Sogn"/>
    <x v="1261"/>
    <x v="0"/>
  </r>
  <r>
    <x v="5"/>
    <x v="57"/>
    <s v="8664"/>
    <s v="Harring Sogn"/>
    <x v="1262"/>
    <x v="0"/>
  </r>
  <r>
    <x v="5"/>
    <x v="57"/>
    <s v="8665"/>
    <s v="Stagstrup Sogn"/>
    <x v="1263"/>
    <x v="0"/>
  </r>
  <r>
    <x v="5"/>
    <x v="57"/>
    <s v="8666"/>
    <s v="Skyum Sogn"/>
    <x v="1264"/>
    <x v="0"/>
  </r>
  <r>
    <x v="5"/>
    <x v="57"/>
    <s v="8667"/>
    <s v="Hørdum Sogn"/>
    <x v="1265"/>
    <x v="0"/>
  </r>
  <r>
    <x v="5"/>
    <x v="57"/>
    <s v="8683"/>
    <s v="Hassing Sogn"/>
    <x v="1266"/>
    <x v="0"/>
  </r>
  <r>
    <x v="5"/>
    <x v="57"/>
    <s v="8684"/>
    <s v="Villerslev Sogn"/>
    <x v="1267"/>
    <x v="0"/>
  </r>
  <r>
    <x v="5"/>
    <x v="57"/>
    <s v="8685"/>
    <s v="Visby Sogn"/>
    <x v="1268"/>
    <x v="0"/>
  </r>
  <r>
    <x v="5"/>
    <x v="57"/>
    <s v="8686"/>
    <s v="Heltborg Sogn"/>
    <x v="1269"/>
    <x v="0"/>
  </r>
  <r>
    <x v="5"/>
    <x v="57"/>
    <s v="8689"/>
    <s v="Hvidbjerg Vesten Å Sogn"/>
    <x v="1270"/>
    <x v="0"/>
  </r>
  <r>
    <x v="5"/>
    <x v="57"/>
    <s v="8690"/>
    <s v="Ørum Sogn"/>
    <x v="1128"/>
    <x v="0"/>
  </r>
  <r>
    <x v="5"/>
    <x v="57"/>
    <s v="8691"/>
    <s v="Lodbjerg Sogn"/>
    <x v="1271"/>
    <x v="0"/>
  </r>
  <r>
    <x v="5"/>
    <x v="57"/>
    <s v="9198"/>
    <s v="Bedsted-Grurup Sogn"/>
    <x v="1272"/>
    <x v="0"/>
  </r>
  <r>
    <x v="5"/>
    <x v="57"/>
    <s v="9198"/>
    <s v="Bedsted-Grurup Sogn"/>
    <x v="1273"/>
    <x v="0"/>
  </r>
  <r>
    <x v="5"/>
    <x v="57"/>
    <s v="9235"/>
    <s v="Stenbjerg Sogn"/>
    <x v="1274"/>
    <x v="0"/>
  </r>
  <r>
    <x v="5"/>
    <x v="57"/>
    <s v="9320"/>
    <s v="Helligsø-Gettrup Sogn"/>
    <x v="1275"/>
    <x v="0"/>
  </r>
  <r>
    <x v="5"/>
    <x v="57"/>
    <s v="9320"/>
    <s v="Helligsø-Gettrup Sogn"/>
    <x v="1276"/>
    <x v="0"/>
  </r>
  <r>
    <x v="5"/>
    <x v="58"/>
    <s v="8668"/>
    <s v="Sejerslev Sogn"/>
    <x v="1277"/>
    <x v="0"/>
  </r>
  <r>
    <x v="5"/>
    <x v="58"/>
    <s v="8669"/>
    <s v="Ejerslev Sogn"/>
    <x v="1278"/>
    <x v="0"/>
  </r>
  <r>
    <x v="5"/>
    <x v="58"/>
    <s v="8670"/>
    <s v="Jørsby Sogn"/>
    <x v="1279"/>
    <x v="0"/>
  </r>
  <r>
    <x v="5"/>
    <x v="58"/>
    <s v="8671"/>
    <s v="Flade Sogn"/>
    <x v="1163"/>
    <x v="0"/>
  </r>
  <r>
    <x v="5"/>
    <x v="58"/>
    <s v="8672"/>
    <s v="Bjergby Sogn"/>
    <x v="1147"/>
    <x v="0"/>
  </r>
  <r>
    <x v="5"/>
    <x v="58"/>
    <s v="8673"/>
    <s v="Alsted Sogn"/>
    <x v="529"/>
    <x v="0"/>
  </r>
  <r>
    <x v="5"/>
    <x v="58"/>
    <s v="8674"/>
    <s v="Sønder Dråby Sogn"/>
    <x v="1280"/>
    <x v="0"/>
  </r>
  <r>
    <x v="5"/>
    <x v="58"/>
    <s v="8675"/>
    <s v="Solbjerg Sogn"/>
    <x v="14"/>
    <x v="0"/>
  </r>
  <r>
    <x v="5"/>
    <x v="58"/>
    <s v="8676"/>
    <s v="Sundby Sogn"/>
    <x v="88"/>
    <x v="0"/>
  </r>
  <r>
    <x v="5"/>
    <x v="58"/>
    <s v="8677"/>
    <s v="Dragstrup Sogn"/>
    <x v="1281"/>
    <x v="0"/>
  </r>
  <r>
    <x v="5"/>
    <x v="58"/>
    <s v="8678"/>
    <s v="Skallerup Sogn"/>
    <x v="1282"/>
    <x v="0"/>
  </r>
  <r>
    <x v="5"/>
    <x v="58"/>
    <s v="8679"/>
    <s v="Galtrup Sogn"/>
    <x v="1283"/>
    <x v="0"/>
  </r>
  <r>
    <x v="5"/>
    <x v="58"/>
    <s v="8680"/>
    <s v="Øster Jølby Sogn"/>
    <x v="1284"/>
    <x v="0"/>
  </r>
  <r>
    <x v="5"/>
    <x v="58"/>
    <s v="8681"/>
    <s v="Tødsø Sogn"/>
    <x v="1285"/>
    <x v="0"/>
  </r>
  <r>
    <x v="5"/>
    <x v="58"/>
    <s v="8682"/>
    <s v="Erslev Sogn"/>
    <x v="1286"/>
    <x v="0"/>
  </r>
  <r>
    <x v="5"/>
    <x v="58"/>
    <s v="8692"/>
    <s v="Nykøbing M Sogn"/>
    <x v="1287"/>
    <x v="0"/>
  </r>
  <r>
    <x v="5"/>
    <x v="58"/>
    <s v="8692"/>
    <s v="Nykøbing M Sogn"/>
    <x v="45"/>
    <x v="0"/>
  </r>
  <r>
    <x v="5"/>
    <x v="58"/>
    <s v="8693"/>
    <s v="Lødderup Sogn"/>
    <x v="1288"/>
    <x v="0"/>
  </r>
  <r>
    <x v="5"/>
    <x v="58"/>
    <s v="8694"/>
    <s v="Elsø Sogn"/>
    <x v="1289"/>
    <x v="0"/>
  </r>
  <r>
    <x v="5"/>
    <x v="58"/>
    <s v="8695"/>
    <s v="Frøslev Sogn"/>
    <x v="578"/>
    <x v="0"/>
  </r>
  <r>
    <x v="5"/>
    <x v="58"/>
    <s v="8696"/>
    <s v="Mollerup Sogn"/>
    <x v="1290"/>
    <x v="0"/>
  </r>
  <r>
    <x v="5"/>
    <x v="58"/>
    <s v="8697"/>
    <s v="Tæbring Sogn"/>
    <x v="1291"/>
    <x v="0"/>
  </r>
  <r>
    <x v="5"/>
    <x v="58"/>
    <s v="8698"/>
    <s v="Ovtrup Sogn"/>
    <x v="1292"/>
    <x v="0"/>
  </r>
  <r>
    <x v="5"/>
    <x v="58"/>
    <s v="8699"/>
    <s v="Rakkeby Sogn"/>
    <x v="1293"/>
    <x v="0"/>
  </r>
  <r>
    <x v="5"/>
    <x v="58"/>
    <s v="8700"/>
    <s v="Karby Sogn"/>
    <x v="1294"/>
    <x v="0"/>
  </r>
  <r>
    <x v="5"/>
    <x v="58"/>
    <s v="8701"/>
    <s v="Redsted Sogn"/>
    <x v="1295"/>
    <x v="0"/>
  </r>
  <r>
    <x v="5"/>
    <x v="58"/>
    <s v="8702"/>
    <s v="Hvidbjerg Sogn"/>
    <x v="1270"/>
    <x v="0"/>
  </r>
  <r>
    <x v="5"/>
    <x v="58"/>
    <s v="8703"/>
    <s v="Vejerslev Sogn"/>
    <x v="1296"/>
    <x v="0"/>
  </r>
  <r>
    <x v="5"/>
    <x v="58"/>
    <s v="8705"/>
    <s v="Ljørslev Sogn"/>
    <x v="1297"/>
    <x v="0"/>
  </r>
  <r>
    <x v="5"/>
    <x v="58"/>
    <s v="8706"/>
    <s v="Ørding Sogn"/>
    <x v="1298"/>
    <x v="0"/>
  </r>
  <r>
    <x v="5"/>
    <x v="58"/>
    <s v="8708"/>
    <s v="Vester Assels Sogn"/>
    <x v="1299"/>
    <x v="0"/>
  </r>
  <r>
    <x v="5"/>
    <x v="58"/>
    <s v="9236"/>
    <s v="Agerø Sogn"/>
    <x v="1300"/>
    <x v="0"/>
  </r>
  <r>
    <x v="5"/>
    <x v="58"/>
    <s v="9328"/>
    <s v="Øster Assels-Blidstrup Sogn"/>
    <x v="1301"/>
    <x v="0"/>
  </r>
  <r>
    <x v="5"/>
    <x v="58"/>
    <s v="9328"/>
    <s v="Øster Assels-Blidstrup Sogn"/>
    <x v="1302"/>
    <x v="0"/>
  </r>
  <r>
    <x v="5"/>
    <x v="59"/>
    <s v="8318"/>
    <s v="Gunderup Sogn"/>
    <x v="1303"/>
    <x v="0"/>
  </r>
  <r>
    <x v="5"/>
    <x v="59"/>
    <s v="8319"/>
    <s v="Nøvling Sogn"/>
    <x v="1304"/>
    <x v="0"/>
  </r>
  <r>
    <x v="5"/>
    <x v="59"/>
    <s v="8323"/>
    <s v="Lillevorde Sogn"/>
    <x v="1305"/>
    <x v="0"/>
  </r>
  <r>
    <x v="5"/>
    <x v="59"/>
    <s v="8324"/>
    <s v="Mou Sogn"/>
    <x v="1306"/>
    <x v="1"/>
  </r>
  <r>
    <x v="5"/>
    <x v="59"/>
    <s v="8324"/>
    <s v="Mou Sogn"/>
    <x v="1307"/>
    <x v="0"/>
  </r>
  <r>
    <x v="5"/>
    <x v="59"/>
    <s v="8325"/>
    <s v="Storvorde Sogn"/>
    <x v="1308"/>
    <x v="0"/>
  </r>
  <r>
    <x v="5"/>
    <x v="59"/>
    <s v="8326"/>
    <s v="Sejlflod Sogn"/>
    <x v="1309"/>
    <x v="0"/>
  </r>
  <r>
    <x v="5"/>
    <x v="59"/>
    <s v="8343"/>
    <s v="Sønder Kongerslev Sogn"/>
    <x v="1310"/>
    <x v="0"/>
  </r>
  <r>
    <x v="5"/>
    <x v="59"/>
    <s v="8344"/>
    <s v="Nørre Kongerslev Sogn"/>
    <x v="1311"/>
    <x v="0"/>
  </r>
  <r>
    <x v="5"/>
    <x v="59"/>
    <s v="8345"/>
    <s v="Komdrup Sogn"/>
    <x v="1312"/>
    <x v="0"/>
  </r>
  <r>
    <x v="5"/>
    <x v="59"/>
    <s v="8370"/>
    <s v="Sønder Tranders Sogn"/>
    <x v="1313"/>
    <x v="0"/>
  </r>
  <r>
    <x v="5"/>
    <x v="59"/>
    <s v="8370"/>
    <s v="Sønder Tranders Sogn"/>
    <x v="1314"/>
    <x v="0"/>
  </r>
  <r>
    <x v="5"/>
    <x v="59"/>
    <s v="8371"/>
    <s v="Nørre Tranders Sogn"/>
    <x v="1315"/>
    <x v="2"/>
  </r>
  <r>
    <x v="5"/>
    <x v="59"/>
    <s v="8371"/>
    <s v="Nørre Tranders Sogn"/>
    <x v="1316"/>
    <x v="0"/>
  </r>
  <r>
    <x v="5"/>
    <x v="59"/>
    <s v="9076"/>
    <s v="Skalborg Sogn"/>
    <x v="1317"/>
    <x v="0"/>
  </r>
  <r>
    <x v="5"/>
    <x v="59"/>
    <s v="9157"/>
    <s v="Gistrup Sogn"/>
    <x v="1318"/>
    <x v="0"/>
  </r>
  <r>
    <x v="5"/>
    <x v="59"/>
    <s v="9187"/>
    <s v="Romdrup-Klarup Sogn"/>
    <x v="1319"/>
    <x v="0"/>
  </r>
  <r>
    <x v="5"/>
    <x v="59"/>
    <s v="9187"/>
    <s v="Romdrup-Klarup Sogn"/>
    <x v="1320"/>
    <x v="0"/>
  </r>
  <r>
    <x v="5"/>
    <x v="59"/>
    <s v="9232"/>
    <s v="Gudumholm Sogn"/>
    <x v="1321"/>
    <x v="0"/>
  </r>
  <r>
    <x v="5"/>
    <x v="59"/>
    <s v="9232"/>
    <s v="Gudumholm Sogn"/>
    <x v="689"/>
    <x v="0"/>
  </r>
  <r>
    <x v="5"/>
    <x v="59"/>
    <s v="9237"/>
    <s v="Rørdal Sogn"/>
    <x v="1322"/>
    <x v="0"/>
  </r>
  <r>
    <x v="5"/>
    <x v="60"/>
    <s v="8404"/>
    <s v="Vrejlev Sogn"/>
    <x v="1323"/>
    <x v="0"/>
  </r>
  <r>
    <x v="5"/>
    <x v="60"/>
    <s v="8405"/>
    <s v="Hæstrup Sogn"/>
    <x v="1324"/>
    <x v="0"/>
  </r>
  <r>
    <x v="5"/>
    <x v="60"/>
    <s v="8406"/>
    <s v="Børglum Sogn"/>
    <x v="1325"/>
    <x v="1"/>
  </r>
  <r>
    <x v="5"/>
    <x v="60"/>
    <s v="8406"/>
    <s v="Børglum Sogn"/>
    <x v="1326"/>
    <x v="1"/>
  </r>
  <r>
    <x v="5"/>
    <x v="60"/>
    <s v="8406"/>
    <s v="Børglum Sogn"/>
    <x v="1327"/>
    <x v="0"/>
  </r>
  <r>
    <x v="5"/>
    <x v="60"/>
    <s v="8407"/>
    <s v="Løkken-Furreby Sogn"/>
    <x v="1328"/>
    <x v="1"/>
  </r>
  <r>
    <x v="5"/>
    <x v="60"/>
    <s v="8407"/>
    <s v="Løkken-Furreby Sogn"/>
    <x v="1329"/>
    <x v="0"/>
  </r>
  <r>
    <x v="5"/>
    <x v="60"/>
    <s v="8408"/>
    <s v="Vejby Sogn"/>
    <x v="251"/>
    <x v="0"/>
  </r>
  <r>
    <x v="5"/>
    <x v="60"/>
    <s v="8409"/>
    <s v="Sejlstrup Sogn"/>
    <x v="1330"/>
    <x v="0"/>
  </r>
  <r>
    <x v="5"/>
    <x v="60"/>
    <s v="8410"/>
    <s v="Vrensted Sogn"/>
    <x v="1331"/>
    <x v="0"/>
  </r>
  <r>
    <x v="5"/>
    <x v="60"/>
    <s v="8414"/>
    <s v="Vrå Sogn"/>
    <x v="1332"/>
    <x v="0"/>
  </r>
  <r>
    <x v="5"/>
    <x v="60"/>
    <s v="8414"/>
    <s v="Vrå Sogn"/>
    <x v="1333"/>
    <x v="2"/>
  </r>
  <r>
    <x v="5"/>
    <x v="60"/>
    <s v="8415"/>
    <s v="Em Sogn"/>
    <x v="1334"/>
    <x v="0"/>
  </r>
  <r>
    <x v="5"/>
    <x v="60"/>
    <s v="8454"/>
    <s v="Sankt Catharinæ Sogn"/>
    <x v="1335"/>
    <x v="0"/>
  </r>
  <r>
    <x v="5"/>
    <x v="60"/>
    <s v="8454"/>
    <s v="Sankt Catharinæ Sogn"/>
    <x v="1336"/>
    <x v="0"/>
  </r>
  <r>
    <x v="5"/>
    <x v="60"/>
    <s v="8454"/>
    <s v="Sankt Catharinæ Sogn"/>
    <x v="1337"/>
    <x v="0"/>
  </r>
  <r>
    <x v="5"/>
    <x v="60"/>
    <s v="8455"/>
    <s v="Sankt Hans Sogn"/>
    <x v="822"/>
    <x v="0"/>
  </r>
  <r>
    <x v="5"/>
    <x v="60"/>
    <s v="8456"/>
    <s v="Sankt Olai Sogn"/>
    <x v="1338"/>
    <x v="0"/>
  </r>
  <r>
    <x v="5"/>
    <x v="60"/>
    <s v="8458"/>
    <s v="Tårs Sogn"/>
    <x v="1339"/>
    <x v="1"/>
  </r>
  <r>
    <x v="5"/>
    <x v="60"/>
    <s v="8458"/>
    <s v="Tårs Sogn"/>
    <x v="772"/>
    <x v="0"/>
  </r>
  <r>
    <x v="5"/>
    <x v="60"/>
    <s v="8468"/>
    <s v="Skallerup Sogn"/>
    <x v="1282"/>
    <x v="0"/>
  </r>
  <r>
    <x v="5"/>
    <x v="60"/>
    <s v="8469"/>
    <s v="Vennebjerg Sogn"/>
    <x v="1340"/>
    <x v="0"/>
  </r>
  <r>
    <x v="5"/>
    <x v="60"/>
    <s v="8470"/>
    <s v="Rubjerg Sogn"/>
    <x v="1341"/>
    <x v="0"/>
  </r>
  <r>
    <x v="5"/>
    <x v="60"/>
    <s v="8471"/>
    <s v="Lyngby Sogn"/>
    <x v="299"/>
    <x v="0"/>
  </r>
  <r>
    <x v="5"/>
    <x v="60"/>
    <s v="8472"/>
    <s v="Jelstrup Sogn"/>
    <x v="1342"/>
    <x v="0"/>
  </r>
  <r>
    <x v="5"/>
    <x v="60"/>
    <s v="8473"/>
    <s v="Mårup Sogn"/>
    <x v="1343"/>
    <x v="1"/>
  </r>
  <r>
    <x v="5"/>
    <x v="60"/>
    <s v="8473"/>
    <s v="Mårup Sogn"/>
    <x v="1344"/>
    <x v="0"/>
  </r>
  <r>
    <x v="5"/>
    <x v="60"/>
    <s v="8474"/>
    <s v="Harritslev Sogn"/>
    <x v="1345"/>
    <x v="0"/>
  </r>
  <r>
    <x v="5"/>
    <x v="60"/>
    <s v="8475"/>
    <s v="Rakkeby Sogn"/>
    <x v="1293"/>
    <x v="0"/>
  </r>
  <r>
    <x v="5"/>
    <x v="60"/>
    <s v="9101"/>
    <s v="Bistrup Sogn"/>
    <x v="351"/>
    <x v="0"/>
  </r>
  <r>
    <x v="5"/>
    <x v="61"/>
    <s v="8279"/>
    <s v="Brorstrup Sogn"/>
    <x v="1346"/>
    <x v="0"/>
  </r>
  <r>
    <x v="5"/>
    <x v="61"/>
    <s v="8280"/>
    <s v="Ravnkilde Sogn"/>
    <x v="1347"/>
    <x v="0"/>
  </r>
  <r>
    <x v="5"/>
    <x v="61"/>
    <s v="8289"/>
    <s v="Kongens Tisted Sogn"/>
    <x v="1348"/>
    <x v="0"/>
  </r>
  <r>
    <x v="5"/>
    <x v="61"/>
    <s v="8290"/>
    <s v="Binderup Sogn"/>
    <x v="1349"/>
    <x v="0"/>
  </r>
  <r>
    <x v="5"/>
    <x v="61"/>
    <s v="8291"/>
    <s v="Durup Sogn"/>
    <x v="1350"/>
    <x v="0"/>
  </r>
  <r>
    <x v="5"/>
    <x v="61"/>
    <s v="8292"/>
    <s v="Rørbæk Sogn"/>
    <x v="1351"/>
    <x v="0"/>
  </r>
  <r>
    <x v="5"/>
    <x v="61"/>
    <s v="8293"/>
    <s v="Grynderup Sogn"/>
    <x v="1352"/>
    <x v="0"/>
  </r>
  <r>
    <x v="5"/>
    <x v="61"/>
    <s v="8294"/>
    <s v="Skibsted Sogn"/>
    <x v="1353"/>
    <x v="0"/>
  </r>
  <r>
    <x v="5"/>
    <x v="61"/>
    <s v="8295"/>
    <s v="Lyngby Sogn"/>
    <x v="299"/>
    <x v="0"/>
  </r>
  <r>
    <x v="5"/>
    <x v="61"/>
    <s v="8296"/>
    <s v="Store Brøndum Sogn"/>
    <x v="1354"/>
    <x v="0"/>
  </r>
  <r>
    <x v="5"/>
    <x v="61"/>
    <s v="8297"/>
    <s v="Siem Sogn"/>
    <x v="1355"/>
    <x v="0"/>
  </r>
  <r>
    <x v="5"/>
    <x v="61"/>
    <s v="8298"/>
    <s v="Torup Sogn"/>
    <x v="259"/>
    <x v="0"/>
  </r>
  <r>
    <x v="5"/>
    <x v="61"/>
    <s v="8299"/>
    <s v="Gerding Sogn"/>
    <x v="1356"/>
    <x v="0"/>
  </r>
  <r>
    <x v="5"/>
    <x v="61"/>
    <s v="8300"/>
    <s v="Blenstrup Sogn"/>
    <x v="1357"/>
    <x v="0"/>
  </r>
  <r>
    <x v="5"/>
    <x v="61"/>
    <s v="8301"/>
    <s v="Skørping Sogn"/>
    <x v="1358"/>
    <x v="0"/>
  </r>
  <r>
    <x v="5"/>
    <x v="61"/>
    <s v="8301"/>
    <s v="Skørping Sogn"/>
    <x v="1359"/>
    <x v="0"/>
  </r>
  <r>
    <x v="5"/>
    <x v="61"/>
    <s v="8302"/>
    <s v="Fræer Sogn"/>
    <x v="1360"/>
    <x v="0"/>
  </r>
  <r>
    <x v="5"/>
    <x v="61"/>
    <s v="8334"/>
    <s v="Øster Hornum Sogn"/>
    <x v="1361"/>
    <x v="0"/>
  </r>
  <r>
    <x v="5"/>
    <x v="61"/>
    <s v="8335"/>
    <s v="Støvring Sogn"/>
    <x v="1362"/>
    <x v="0"/>
  </r>
  <r>
    <x v="5"/>
    <x v="61"/>
    <s v="8336"/>
    <s v="Gravlev Sogn"/>
    <x v="1363"/>
    <x v="0"/>
  </r>
  <r>
    <x v="5"/>
    <x v="61"/>
    <s v="8337"/>
    <s v="Aarestrup Sogn"/>
    <x v="1364"/>
    <x v="0"/>
  </r>
  <r>
    <x v="5"/>
    <x v="61"/>
    <s v="8338"/>
    <s v="Haverslev Sogn"/>
    <x v="1196"/>
    <x v="0"/>
  </r>
  <r>
    <x v="5"/>
    <x v="61"/>
    <s v="8339"/>
    <s v="Sønderup Sogn"/>
    <x v="688"/>
    <x v="0"/>
  </r>
  <r>
    <x v="5"/>
    <x v="61"/>
    <s v="8340"/>
    <s v="Suldrup Sogn"/>
    <x v="1365"/>
    <x v="0"/>
  </r>
  <r>
    <x v="5"/>
    <x v="61"/>
    <s v="8341"/>
    <s v="Veggerby Sogn"/>
    <x v="1366"/>
    <x v="0"/>
  </r>
  <r>
    <x v="5"/>
    <x v="61"/>
    <s v="8346"/>
    <s v="Bælum Sogn"/>
    <x v="1367"/>
    <x v="0"/>
  </r>
  <r>
    <x v="5"/>
    <x v="61"/>
    <s v="8347"/>
    <s v="Solbjerg Sogn"/>
    <x v="14"/>
    <x v="0"/>
  </r>
  <r>
    <x v="5"/>
    <x v="61"/>
    <s v="9065"/>
    <s v="Stenild Sogn"/>
    <x v="1368"/>
    <x v="0"/>
  </r>
  <r>
    <x v="5"/>
    <x v="61"/>
    <s v="9217"/>
    <s v="Terndrup Sogn"/>
    <x v="1369"/>
    <x v="0"/>
  </r>
  <r>
    <x v="5"/>
    <x v="61"/>
    <s v="9238"/>
    <s v="Sørup Sogn"/>
    <x v="903"/>
    <x v="0"/>
  </r>
  <r>
    <x v="6"/>
    <x v="62"/>
    <s v="8497"/>
    <s v="Tårup Sogn"/>
    <x v="1370"/>
    <x v="0"/>
  </r>
  <r>
    <x v="6"/>
    <x v="62"/>
    <s v="8498"/>
    <s v="Kvols Sogn"/>
    <x v="1371"/>
    <x v="0"/>
  </r>
  <r>
    <x v="6"/>
    <x v="62"/>
    <s v="8500"/>
    <s v="Stoholm Sogn"/>
    <x v="1372"/>
    <x v="1"/>
  </r>
  <r>
    <x v="6"/>
    <x v="62"/>
    <s v="8500"/>
    <s v="Stoholm Sogn"/>
    <x v="1373"/>
    <x v="0"/>
  </r>
  <r>
    <x v="6"/>
    <x v="62"/>
    <s v="8501"/>
    <s v="Sparkær Sogn"/>
    <x v="1374"/>
    <x v="0"/>
  </r>
  <r>
    <x v="6"/>
    <x v="62"/>
    <s v="8502"/>
    <s v="Gammelstrup Sogn"/>
    <x v="1375"/>
    <x v="0"/>
  </r>
  <r>
    <x v="6"/>
    <x v="62"/>
    <s v="8503"/>
    <s v="Daugbjerg Sogn"/>
    <x v="1376"/>
    <x v="0"/>
  </r>
  <r>
    <x v="6"/>
    <x v="62"/>
    <s v="8504"/>
    <s v="Mønsted Sogn"/>
    <x v="1377"/>
    <x v="0"/>
  </r>
  <r>
    <x v="6"/>
    <x v="62"/>
    <s v="8505"/>
    <s v="Smollerup Sogn"/>
    <x v="1378"/>
    <x v="0"/>
  </r>
  <r>
    <x v="6"/>
    <x v="62"/>
    <s v="8506"/>
    <s v="Vridsted Sogn"/>
    <x v="1379"/>
    <x v="0"/>
  </r>
  <r>
    <x v="6"/>
    <x v="62"/>
    <s v="8507"/>
    <s v="Fly Sogn"/>
    <x v="1380"/>
    <x v="0"/>
  </r>
  <r>
    <x v="6"/>
    <x v="62"/>
    <s v="8508"/>
    <s v="Vroue Sogn"/>
    <x v="1381"/>
    <x v="0"/>
  </r>
  <r>
    <x v="6"/>
    <x v="62"/>
    <s v="8509"/>
    <s v="Resen Sogn"/>
    <x v="1382"/>
    <x v="0"/>
  </r>
  <r>
    <x v="6"/>
    <x v="62"/>
    <s v="8534"/>
    <s v="Dollerup Sogn"/>
    <x v="1383"/>
    <x v="1"/>
  </r>
  <r>
    <x v="6"/>
    <x v="62"/>
    <s v="8534"/>
    <s v="Dollerup Sogn"/>
    <x v="1384"/>
    <x v="0"/>
  </r>
  <r>
    <x v="6"/>
    <x v="62"/>
    <s v="8535"/>
    <s v="Finderup Sogn"/>
    <x v="423"/>
    <x v="0"/>
  </r>
  <r>
    <x v="6"/>
    <x v="62"/>
    <s v="8536"/>
    <s v="Ravnstrup Sogn"/>
    <x v="1385"/>
    <x v="0"/>
  </r>
  <r>
    <x v="6"/>
    <x v="62"/>
    <s v="8563"/>
    <s v="Vorde Sogn"/>
    <x v="1386"/>
    <x v="0"/>
  </r>
  <r>
    <x v="6"/>
    <x v="62"/>
    <s v="8564"/>
    <s v="Fiskbæk Sogn"/>
    <x v="1387"/>
    <x v="0"/>
  </r>
  <r>
    <x v="6"/>
    <x v="62"/>
    <s v="8565"/>
    <s v="Romlund Sogn"/>
    <x v="1388"/>
    <x v="0"/>
  </r>
  <r>
    <x v="6"/>
    <x v="62"/>
    <s v="8591"/>
    <s v="Lysgård Sogn"/>
    <x v="1389"/>
    <x v="0"/>
  </r>
  <r>
    <x v="6"/>
    <x v="62"/>
    <s v="8592"/>
    <s v="Sjørslev Sogn"/>
    <x v="1390"/>
    <x v="0"/>
  </r>
  <r>
    <x v="6"/>
    <x v="62"/>
    <s v="8593"/>
    <s v="Almind Sogn"/>
    <x v="1391"/>
    <x v="0"/>
  </r>
  <r>
    <x v="6"/>
    <x v="62"/>
    <s v="8613"/>
    <s v="Viborg Domsogn"/>
    <x v="1392"/>
    <x v="0"/>
  </r>
  <r>
    <x v="6"/>
    <x v="62"/>
    <s v="8613"/>
    <s v="Viborg Domsogn"/>
    <x v="1393"/>
    <x v="1"/>
  </r>
  <r>
    <x v="6"/>
    <x v="62"/>
    <s v="8613"/>
    <s v="Viborg Domsogn"/>
    <x v="1394"/>
    <x v="0"/>
  </r>
  <r>
    <x v="6"/>
    <x v="62"/>
    <s v="8614"/>
    <s v="Søndre Sogn"/>
    <x v="1395"/>
    <x v="0"/>
  </r>
  <r>
    <x v="6"/>
    <x v="62"/>
    <s v="8614"/>
    <s v="Søndre Sogn"/>
    <x v="1396"/>
    <x v="0"/>
  </r>
  <r>
    <x v="6"/>
    <x v="62"/>
    <s v="8614"/>
    <s v="Søndre Sogn"/>
    <x v="1397"/>
    <x v="0"/>
  </r>
  <r>
    <x v="6"/>
    <x v="62"/>
    <s v="8615"/>
    <s v="Asmild Sogn"/>
    <x v="1398"/>
    <x v="0"/>
  </r>
  <r>
    <x v="6"/>
    <x v="62"/>
    <s v="8616"/>
    <s v="Tapdrup Sogn"/>
    <x v="1399"/>
    <x v="0"/>
  </r>
  <r>
    <x v="6"/>
    <x v="62"/>
    <s v="8617"/>
    <s v="Vinkel Sogn"/>
    <x v="1400"/>
    <x v="0"/>
  </r>
  <r>
    <x v="6"/>
    <x v="62"/>
    <s v="8618"/>
    <s v="Sønder Rind Sogn"/>
    <x v="1401"/>
    <x v="0"/>
  </r>
  <r>
    <x v="6"/>
    <x v="62"/>
    <s v="9079"/>
    <s v="Vestervang Sogn"/>
    <x v="199"/>
    <x v="0"/>
  </r>
  <r>
    <x v="6"/>
    <x v="62"/>
    <s v="9126"/>
    <s v="Søndermark Sogn"/>
    <x v="1402"/>
    <x v="0"/>
  </r>
  <r>
    <x v="6"/>
    <x v="62"/>
    <s v="9149"/>
    <s v="Houlkær Sogn"/>
    <x v="1403"/>
    <x v="0"/>
  </r>
  <r>
    <x v="6"/>
    <x v="62"/>
    <s v="9168"/>
    <s v="Iglsø Sogn"/>
    <x v="1404"/>
    <x v="0"/>
  </r>
  <r>
    <x v="6"/>
    <x v="63"/>
    <s v="8484"/>
    <s v="Sahl Sogn"/>
    <x v="1405"/>
    <x v="0"/>
  </r>
  <r>
    <x v="6"/>
    <x v="63"/>
    <s v="8485"/>
    <s v="Gullev Sogn"/>
    <x v="1406"/>
    <x v="0"/>
  </r>
  <r>
    <x v="6"/>
    <x v="63"/>
    <s v="8523"/>
    <s v="Hvam Sogn"/>
    <x v="1407"/>
    <x v="0"/>
  </r>
  <r>
    <x v="6"/>
    <x v="63"/>
    <s v="8525"/>
    <s v="Hersom Sogn"/>
    <x v="1408"/>
    <x v="0"/>
  </r>
  <r>
    <x v="6"/>
    <x v="63"/>
    <s v="8526"/>
    <s v="Vester Bjerregrav Sogn"/>
    <x v="1409"/>
    <x v="0"/>
  </r>
  <r>
    <x v="6"/>
    <x v="63"/>
    <s v="8527"/>
    <s v="Klejtrup Sogn"/>
    <x v="1410"/>
    <x v="0"/>
  </r>
  <r>
    <x v="6"/>
    <x v="63"/>
    <s v="8528"/>
    <s v="Vester Tostrup Sogn"/>
    <x v="1411"/>
    <x v="0"/>
  </r>
  <r>
    <x v="6"/>
    <x v="63"/>
    <s v="8529"/>
    <s v="Roum Sogn"/>
    <x v="1412"/>
    <x v="0"/>
  </r>
  <r>
    <x v="6"/>
    <x v="63"/>
    <s v="8530"/>
    <s v="Låstrup Sogn"/>
    <x v="1413"/>
    <x v="0"/>
  </r>
  <r>
    <x v="6"/>
    <x v="63"/>
    <s v="8531"/>
    <s v="Skals Sogn"/>
    <x v="1414"/>
    <x v="0"/>
  </r>
  <r>
    <x v="6"/>
    <x v="63"/>
    <s v="8532"/>
    <s v="Ulbjerg Sogn"/>
    <x v="1415"/>
    <x v="0"/>
  </r>
  <r>
    <x v="6"/>
    <x v="63"/>
    <s v="8533"/>
    <s v="Lynderup Sogn"/>
    <x v="1416"/>
    <x v="0"/>
  </r>
  <r>
    <x v="6"/>
    <x v="63"/>
    <s v="8566"/>
    <s v="Rødding Sogn"/>
    <x v="1417"/>
    <x v="0"/>
  </r>
  <r>
    <x v="6"/>
    <x v="63"/>
    <s v="8567"/>
    <s v="Løvel Sogn"/>
    <x v="1418"/>
    <x v="0"/>
  </r>
  <r>
    <x v="6"/>
    <x v="63"/>
    <s v="8568"/>
    <s v="Pederstrup Sogn"/>
    <x v="1419"/>
    <x v="0"/>
  </r>
  <r>
    <x v="6"/>
    <x v="63"/>
    <s v="8569"/>
    <s v="Vammen Sogn"/>
    <x v="1420"/>
    <x v="0"/>
  </r>
  <r>
    <x v="6"/>
    <x v="63"/>
    <s v="8570"/>
    <s v="Lindum Sogn"/>
    <x v="1421"/>
    <x v="0"/>
  </r>
  <r>
    <x v="6"/>
    <x v="63"/>
    <s v="8571"/>
    <s v="Bigum Sogn"/>
    <x v="1422"/>
    <x v="0"/>
  </r>
  <r>
    <x v="6"/>
    <x v="63"/>
    <s v="8602"/>
    <s v="Frederiks Sogn"/>
    <x v="135"/>
    <x v="0"/>
  </r>
  <r>
    <x v="6"/>
    <x v="63"/>
    <s v="8603"/>
    <s v="Karup Sogn"/>
    <x v="1167"/>
    <x v="0"/>
  </r>
  <r>
    <x v="6"/>
    <x v="63"/>
    <s v="8619"/>
    <s v="Vindum Sogn"/>
    <x v="1423"/>
    <x v="0"/>
  </r>
  <r>
    <x v="6"/>
    <x v="63"/>
    <s v="8619"/>
    <s v="Vindum Sogn"/>
    <x v="1424"/>
    <x v="0"/>
  </r>
  <r>
    <x v="6"/>
    <x v="63"/>
    <s v="8621"/>
    <s v="Mammen Sogn"/>
    <x v="1425"/>
    <x v="0"/>
  </r>
  <r>
    <x v="6"/>
    <x v="63"/>
    <s v="8622"/>
    <s v="Bjerringbro Sogn"/>
    <x v="1426"/>
    <x v="0"/>
  </r>
  <r>
    <x v="6"/>
    <x v="63"/>
    <s v="8624"/>
    <s v="Lee Sogn"/>
    <x v="1427"/>
    <x v="0"/>
  </r>
  <r>
    <x v="6"/>
    <x v="63"/>
    <s v="8625"/>
    <s v="Hjorthede Sogn"/>
    <x v="1428"/>
    <x v="0"/>
  </r>
  <r>
    <x v="6"/>
    <x v="63"/>
    <s v="8627"/>
    <s v="Skjern Sogn"/>
    <x v="1429"/>
    <x v="0"/>
  </r>
  <r>
    <x v="6"/>
    <x v="63"/>
    <s v="8634"/>
    <s v="Tjele Sogn"/>
    <x v="1430"/>
    <x v="0"/>
  </r>
  <r>
    <x v="6"/>
    <x v="63"/>
    <s v="8635"/>
    <s v="Nørre Vinge Sogn"/>
    <x v="1431"/>
    <x v="0"/>
  </r>
  <r>
    <x v="6"/>
    <x v="63"/>
    <s v="8636"/>
    <s v="Ørum Sogn"/>
    <x v="1128"/>
    <x v="0"/>
  </r>
  <r>
    <x v="6"/>
    <x v="63"/>
    <s v="8637"/>
    <s v="Viskum Sogn"/>
    <x v="1432"/>
    <x v="0"/>
  </r>
  <r>
    <x v="6"/>
    <x v="63"/>
    <s v="8638"/>
    <s v="Vejrum Sogn"/>
    <x v="1433"/>
    <x v="0"/>
  </r>
  <r>
    <x v="6"/>
    <x v="63"/>
    <s v="8639"/>
    <s v="Vorning Sogn"/>
    <x v="1434"/>
    <x v="0"/>
  </r>
  <r>
    <x v="6"/>
    <x v="63"/>
    <s v="8640"/>
    <s v="Kvorning Sogn"/>
    <x v="1435"/>
    <x v="0"/>
  </r>
  <r>
    <x v="6"/>
    <x v="63"/>
    <s v="8641"/>
    <s v="Hammershøj Sogn"/>
    <x v="1436"/>
    <x v="0"/>
  </r>
  <r>
    <x v="6"/>
    <x v="63"/>
    <s v="9214"/>
    <s v="Bjerring Sogn"/>
    <x v="1437"/>
    <x v="0"/>
  </r>
  <r>
    <x v="6"/>
    <x v="63"/>
    <s v="9215"/>
    <s v="Hjermind Sogn"/>
    <x v="1438"/>
    <x v="0"/>
  </r>
  <r>
    <x v="6"/>
    <x v="63"/>
    <s v="9355"/>
    <s v="Højbjerg-Elsborg Sogn"/>
    <x v="1439"/>
    <x v="0"/>
  </r>
  <r>
    <x v="6"/>
    <x v="63"/>
    <s v="9355"/>
    <s v="Højbjerg-Elsborg Sogn"/>
    <x v="1440"/>
    <x v="0"/>
  </r>
  <r>
    <x v="6"/>
    <x v="64"/>
    <s v="8540"/>
    <s v="Roslev Sogn"/>
    <x v="1441"/>
    <x v="0"/>
  </r>
  <r>
    <x v="6"/>
    <x v="64"/>
    <s v="8541"/>
    <s v="Rybjerg Sogn"/>
    <x v="1442"/>
    <x v="0"/>
  </r>
  <r>
    <x v="6"/>
    <x v="64"/>
    <s v="8545"/>
    <s v="Vile Sogn"/>
    <x v="1443"/>
    <x v="0"/>
  </r>
  <r>
    <x v="6"/>
    <x v="64"/>
    <s v="8546"/>
    <s v="Glyngøre Sogn"/>
    <x v="1444"/>
    <x v="0"/>
  </r>
  <r>
    <x v="6"/>
    <x v="64"/>
    <s v="8547"/>
    <s v="Sæby Sogn"/>
    <x v="392"/>
    <x v="0"/>
  </r>
  <r>
    <x v="6"/>
    <x v="64"/>
    <s v="8548"/>
    <s v="Fur Sogn"/>
    <x v="609"/>
    <x v="0"/>
  </r>
  <r>
    <x v="6"/>
    <x v="64"/>
    <s v="8549"/>
    <s v="Rødding Sogn"/>
    <x v="1417"/>
    <x v="0"/>
  </r>
  <r>
    <x v="6"/>
    <x v="64"/>
    <s v="8550"/>
    <s v="Lihme Sogn"/>
    <x v="1445"/>
    <x v="0"/>
  </r>
  <r>
    <x v="6"/>
    <x v="64"/>
    <s v="8551"/>
    <s v="Balling Sogn"/>
    <x v="1446"/>
    <x v="0"/>
  </r>
  <r>
    <x v="6"/>
    <x v="64"/>
    <s v="8552"/>
    <s v="Volling Sogn"/>
    <x v="1447"/>
    <x v="0"/>
  </r>
  <r>
    <x v="6"/>
    <x v="64"/>
    <s v="8553"/>
    <s v="Krejbjerg Sogn"/>
    <x v="1448"/>
    <x v="0"/>
  </r>
  <r>
    <x v="6"/>
    <x v="64"/>
    <s v="8554"/>
    <s v="Håsum Sogn"/>
    <x v="1449"/>
    <x v="0"/>
  </r>
  <r>
    <x v="6"/>
    <x v="64"/>
    <s v="8555"/>
    <s v="Ramsing Sogn"/>
    <x v="1450"/>
    <x v="0"/>
  </r>
  <r>
    <x v="6"/>
    <x v="64"/>
    <s v="8556"/>
    <s v="Lem Sogn"/>
    <x v="1451"/>
    <x v="0"/>
  </r>
  <r>
    <x v="6"/>
    <x v="64"/>
    <s v="8557"/>
    <s v="Vejby Sogn"/>
    <x v="251"/>
    <x v="0"/>
  </r>
  <r>
    <x v="6"/>
    <x v="64"/>
    <s v="8577"/>
    <s v="Oddense Sogn"/>
    <x v="1452"/>
    <x v="0"/>
  </r>
  <r>
    <x v="6"/>
    <x v="64"/>
    <s v="8578"/>
    <s v="Otting Sogn"/>
    <x v="1453"/>
    <x v="0"/>
  </r>
  <r>
    <x v="6"/>
    <x v="64"/>
    <s v="8585"/>
    <s v="Grinderslev Sogn"/>
    <x v="1454"/>
    <x v="0"/>
  </r>
  <r>
    <x v="6"/>
    <x v="64"/>
    <s v="8586"/>
    <s v="Grønning Sogn"/>
    <x v="1455"/>
    <x v="0"/>
  </r>
  <r>
    <x v="6"/>
    <x v="64"/>
    <s v="8587"/>
    <s v="Thise Sogn"/>
    <x v="1456"/>
    <x v="0"/>
  </r>
  <r>
    <x v="6"/>
    <x v="64"/>
    <s v="9326"/>
    <s v="Brøndum-Hvidbjerg Sogn"/>
    <x v="1457"/>
    <x v="0"/>
  </r>
  <r>
    <x v="6"/>
    <x v="64"/>
    <s v="9326"/>
    <s v="Brøndum-Hvidbjerg Sogn"/>
    <x v="1270"/>
    <x v="0"/>
  </r>
  <r>
    <x v="6"/>
    <x v="64"/>
    <s v="9329"/>
    <s v="Jebjerg-Lyby Sogn"/>
    <x v="1458"/>
    <x v="0"/>
  </r>
  <r>
    <x v="6"/>
    <x v="64"/>
    <s v="9329"/>
    <s v="Jebjerg-Lyby Sogn"/>
    <x v="1459"/>
    <x v="0"/>
  </r>
  <r>
    <x v="6"/>
    <x v="64"/>
    <s v="9354"/>
    <s v="Fursund Sogn"/>
    <x v="1160"/>
    <x v="0"/>
  </r>
  <r>
    <x v="6"/>
    <x v="64"/>
    <s v="9354"/>
    <s v="Fursund Sogn"/>
    <x v="1460"/>
    <x v="0"/>
  </r>
  <r>
    <x v="6"/>
    <x v="64"/>
    <s v="9354"/>
    <s v="Fursund Sogn"/>
    <x v="1461"/>
    <x v="0"/>
  </r>
  <r>
    <x v="6"/>
    <x v="64"/>
    <s v="9354"/>
    <s v="Fursund Sogn"/>
    <x v="1462"/>
    <x v="0"/>
  </r>
  <r>
    <x v="6"/>
    <x v="64"/>
    <s v="9356"/>
    <s v="Durup-Tøndering-Nautrup Sogn"/>
    <x v="1350"/>
    <x v="0"/>
  </r>
  <r>
    <x v="6"/>
    <x v="64"/>
    <s v="9356"/>
    <s v="Durup-Tøndering-Nautrup Sogn"/>
    <x v="1463"/>
    <x v="0"/>
  </r>
  <r>
    <x v="6"/>
    <x v="64"/>
    <s v="9356"/>
    <s v="Durup-Tøndering-Nautrup Sogn"/>
    <x v="1464"/>
    <x v="0"/>
  </r>
  <r>
    <x v="6"/>
    <x v="64"/>
    <s v="9362"/>
    <s v="Hjerk-Harre Sogn"/>
    <x v="1465"/>
    <x v="0"/>
  </r>
  <r>
    <x v="6"/>
    <x v="64"/>
    <s v="9362"/>
    <s v="Hjerk-Harre Sogn"/>
    <x v="1466"/>
    <x v="0"/>
  </r>
  <r>
    <x v="6"/>
    <x v="65"/>
    <s v="8499"/>
    <s v="Kobberup Sogn"/>
    <x v="1467"/>
    <x v="0"/>
  </r>
  <r>
    <x v="6"/>
    <x v="65"/>
    <s v="8558"/>
    <s v="Højslev Sogn"/>
    <x v="1468"/>
    <x v="0"/>
  </r>
  <r>
    <x v="6"/>
    <x v="65"/>
    <s v="8559"/>
    <s v="Dommerby Sogn"/>
    <x v="1469"/>
    <x v="0"/>
  </r>
  <r>
    <x v="6"/>
    <x v="65"/>
    <s v="8560"/>
    <s v="Lundø Sogn"/>
    <x v="1470"/>
    <x v="0"/>
  </r>
  <r>
    <x v="6"/>
    <x v="65"/>
    <s v="8561"/>
    <s v="Ørslevkloster Sogn"/>
    <x v="1471"/>
    <x v="0"/>
  </r>
  <r>
    <x v="6"/>
    <x v="65"/>
    <s v="8562"/>
    <s v="Ørum Sogn"/>
    <x v="1128"/>
    <x v="0"/>
  </r>
  <r>
    <x v="6"/>
    <x v="65"/>
    <s v="8572"/>
    <s v="Skive Sogn"/>
    <x v="1472"/>
    <x v="0"/>
  </r>
  <r>
    <x v="6"/>
    <x v="65"/>
    <s v="8572"/>
    <s v="Skive Sogn"/>
    <x v="1473"/>
    <x v="0"/>
  </r>
  <r>
    <x v="6"/>
    <x v="65"/>
    <s v="8572"/>
    <s v="Skive Sogn"/>
    <x v="117"/>
    <x v="1"/>
  </r>
  <r>
    <x v="6"/>
    <x v="65"/>
    <s v="8573"/>
    <s v="Resen Sogn"/>
    <x v="1382"/>
    <x v="0"/>
  </r>
  <r>
    <x v="6"/>
    <x v="65"/>
    <s v="8574"/>
    <s v="Hem Sogn"/>
    <x v="1474"/>
    <x v="0"/>
  </r>
  <r>
    <x v="6"/>
    <x v="65"/>
    <s v="8575"/>
    <s v="Hindborg Sogn"/>
    <x v="1475"/>
    <x v="0"/>
  </r>
  <r>
    <x v="6"/>
    <x v="65"/>
    <s v="8576"/>
    <s v="Dølby Sogn"/>
    <x v="1476"/>
    <x v="0"/>
  </r>
  <r>
    <x v="6"/>
    <x v="65"/>
    <s v="9085"/>
    <s v="Egeris Sogn"/>
    <x v="1477"/>
    <x v="0"/>
  </r>
  <r>
    <x v="6"/>
    <x v="65"/>
    <s v="9199"/>
    <s v="Estvad-Rønbjerg Sogn"/>
    <x v="1478"/>
    <x v="0"/>
  </r>
  <r>
    <x v="6"/>
    <x v="65"/>
    <s v="9199"/>
    <s v="Estvad-Rønbjerg Sogn"/>
    <x v="1479"/>
    <x v="0"/>
  </r>
  <r>
    <x v="6"/>
    <x v="66"/>
    <s v="8269"/>
    <s v="Aars Sogn"/>
    <x v="1480"/>
    <x v="0"/>
  </r>
  <r>
    <x v="6"/>
    <x v="66"/>
    <s v="8270"/>
    <s v="Havbro Sogn"/>
    <x v="1481"/>
    <x v="0"/>
  </r>
  <r>
    <x v="6"/>
    <x v="66"/>
    <s v="8271"/>
    <s v="Vester Hornum Sogn"/>
    <x v="1482"/>
    <x v="0"/>
  </r>
  <r>
    <x v="6"/>
    <x v="66"/>
    <s v="8272"/>
    <s v="Flejsborg Sogn"/>
    <x v="1483"/>
    <x v="0"/>
  </r>
  <r>
    <x v="6"/>
    <x v="66"/>
    <s v="8273"/>
    <s v="Ulstrup Sogn"/>
    <x v="1484"/>
    <x v="0"/>
  </r>
  <r>
    <x v="6"/>
    <x v="66"/>
    <s v="8274"/>
    <s v="Gundersted Sogn"/>
    <x v="1485"/>
    <x v="0"/>
  </r>
  <r>
    <x v="6"/>
    <x v="66"/>
    <s v="8275"/>
    <s v="Blære Sogn"/>
    <x v="1486"/>
    <x v="0"/>
  </r>
  <r>
    <x v="6"/>
    <x v="66"/>
    <s v="8277"/>
    <s v="Skivum Sogn"/>
    <x v="1487"/>
    <x v="0"/>
  </r>
  <r>
    <x v="6"/>
    <x v="66"/>
    <s v="8278"/>
    <s v="Giver Sogn"/>
    <x v="1488"/>
    <x v="0"/>
  </r>
  <r>
    <x v="6"/>
    <x v="66"/>
    <s v="8281"/>
    <s v="Strandby Sogn"/>
    <x v="1158"/>
    <x v="0"/>
  </r>
  <r>
    <x v="6"/>
    <x v="66"/>
    <s v="8282"/>
    <s v="Farsø Sogn"/>
    <x v="1489"/>
    <x v="0"/>
  </r>
  <r>
    <x v="6"/>
    <x v="66"/>
    <s v="8282"/>
    <s v="Farsø Sogn"/>
    <x v="1490"/>
    <x v="0"/>
  </r>
  <r>
    <x v="6"/>
    <x v="66"/>
    <s v="8283"/>
    <s v="Ullits Sogn"/>
    <x v="1491"/>
    <x v="0"/>
  </r>
  <r>
    <x v="6"/>
    <x v="66"/>
    <s v="8284"/>
    <s v="Fovlum Sogn"/>
    <x v="1492"/>
    <x v="0"/>
  </r>
  <r>
    <x v="6"/>
    <x v="66"/>
    <s v="8285"/>
    <s v="Louns Sogn"/>
    <x v="1493"/>
    <x v="0"/>
  </r>
  <r>
    <x v="6"/>
    <x v="66"/>
    <s v="8286"/>
    <s v="Alstrup Sogn"/>
    <x v="1203"/>
    <x v="0"/>
  </r>
  <r>
    <x v="6"/>
    <x v="66"/>
    <s v="8287"/>
    <s v="Gislum Sogn"/>
    <x v="1494"/>
    <x v="0"/>
  </r>
  <r>
    <x v="6"/>
    <x v="66"/>
    <s v="8288"/>
    <s v="Vognsild Sogn"/>
    <x v="1495"/>
    <x v="0"/>
  </r>
  <r>
    <x v="6"/>
    <x v="66"/>
    <s v="8348"/>
    <s v="Løgstør Sogn"/>
    <x v="1496"/>
    <x v="0"/>
  </r>
  <r>
    <x v="6"/>
    <x v="66"/>
    <s v="8349"/>
    <s v="Løgsted Sogn"/>
    <x v="1497"/>
    <x v="0"/>
  </r>
  <r>
    <x v="6"/>
    <x v="66"/>
    <s v="8350"/>
    <s v="Ranum Sogn"/>
    <x v="1498"/>
    <x v="0"/>
  </r>
  <r>
    <x v="6"/>
    <x v="66"/>
    <s v="8351"/>
    <s v="Malle Sogn"/>
    <x v="1499"/>
    <x v="0"/>
  </r>
  <r>
    <x v="6"/>
    <x v="66"/>
    <s v="8352"/>
    <s v="Overlade Sogn"/>
    <x v="1500"/>
    <x v="0"/>
  </r>
  <r>
    <x v="6"/>
    <x v="66"/>
    <s v="8353"/>
    <s v="Hyllebjerg Sogn"/>
    <x v="1501"/>
    <x v="0"/>
  </r>
  <r>
    <x v="6"/>
    <x v="66"/>
    <s v="8354"/>
    <s v="Vilsted Sogn"/>
    <x v="1502"/>
    <x v="0"/>
  </r>
  <r>
    <x v="6"/>
    <x v="66"/>
    <s v="8355"/>
    <s v="Vindblæs Sogn"/>
    <x v="1503"/>
    <x v="0"/>
  </r>
  <r>
    <x v="6"/>
    <x v="66"/>
    <s v="8358"/>
    <s v="Næsborg Sogn"/>
    <x v="1504"/>
    <x v="0"/>
  </r>
  <r>
    <x v="6"/>
    <x v="66"/>
    <s v="8359"/>
    <s v="Kornum Sogn"/>
    <x v="1505"/>
    <x v="0"/>
  </r>
  <r>
    <x v="6"/>
    <x v="66"/>
    <s v="8360"/>
    <s v="Salling Sogn"/>
    <x v="1506"/>
    <x v="0"/>
  </r>
  <r>
    <x v="6"/>
    <x v="66"/>
    <s v="8361"/>
    <s v="Oudrup Sogn"/>
    <x v="1507"/>
    <x v="0"/>
  </r>
  <r>
    <x v="6"/>
    <x v="66"/>
    <s v="8399"/>
    <s v="Aggersborg Sogn"/>
    <x v="1508"/>
    <x v="0"/>
  </r>
  <r>
    <x v="6"/>
    <x v="66"/>
    <s v="8517"/>
    <s v="Vesterbølle Sogn"/>
    <x v="1509"/>
    <x v="0"/>
  </r>
  <r>
    <x v="6"/>
    <x v="66"/>
    <s v="8518"/>
    <s v="Østerbølle Sogn"/>
    <x v="1510"/>
    <x v="0"/>
  </r>
  <r>
    <x v="6"/>
    <x v="66"/>
    <s v="8519"/>
    <s v="Gedsted Sogn"/>
    <x v="1511"/>
    <x v="0"/>
  </r>
  <r>
    <x v="6"/>
    <x v="66"/>
    <s v="8520"/>
    <s v="Fjelsø Sogn"/>
    <x v="1512"/>
    <x v="0"/>
  </r>
  <r>
    <x v="6"/>
    <x v="66"/>
    <s v="8521"/>
    <s v="Simested Sogn"/>
    <x v="1513"/>
    <x v="0"/>
  </r>
  <r>
    <x v="6"/>
    <x v="66"/>
    <s v="8522"/>
    <s v="Testrup Sogn"/>
    <x v="1514"/>
    <x v="0"/>
  </r>
  <r>
    <x v="6"/>
    <x v="66"/>
    <s v="8904"/>
    <s v="Aalestrup Sogn"/>
    <x v="1515"/>
    <x v="0"/>
  </r>
  <r>
    <x v="6"/>
    <x v="66"/>
    <s v="9095"/>
    <s v="Svingelbjerg Sogn"/>
    <x v="1516"/>
    <x v="0"/>
  </r>
  <r>
    <x v="6"/>
    <x v="67"/>
    <s v="8747"/>
    <s v="Vinding Sogn"/>
    <x v="1517"/>
    <x v="0"/>
  </r>
  <r>
    <x v="6"/>
    <x v="67"/>
    <s v="8748"/>
    <s v="Vind Sogn"/>
    <x v="1518"/>
    <x v="0"/>
  </r>
  <r>
    <x v="6"/>
    <x v="67"/>
    <s v="8792"/>
    <s v="Aulum Sogn"/>
    <x v="1519"/>
    <x v="0"/>
  </r>
  <r>
    <x v="6"/>
    <x v="67"/>
    <s v="8793"/>
    <s v="Hodsager Sogn"/>
    <x v="1520"/>
    <x v="0"/>
  </r>
  <r>
    <x v="6"/>
    <x v="67"/>
    <s v="8794"/>
    <s v="Vildbjerg Sogn"/>
    <x v="1521"/>
    <x v="0"/>
  </r>
  <r>
    <x v="6"/>
    <x v="67"/>
    <s v="8794"/>
    <s v="Vildbjerg Sogn"/>
    <x v="1522"/>
    <x v="0"/>
  </r>
  <r>
    <x v="6"/>
    <x v="67"/>
    <s v="8795"/>
    <s v="Nøvling Sogn"/>
    <x v="1304"/>
    <x v="0"/>
  </r>
  <r>
    <x v="6"/>
    <x v="67"/>
    <s v="8800"/>
    <s v="Sunds Sogn"/>
    <x v="1523"/>
    <x v="0"/>
  </r>
  <r>
    <x v="6"/>
    <x v="67"/>
    <s v="8801"/>
    <s v="Ilskov Sogn"/>
    <x v="1524"/>
    <x v="0"/>
  </r>
  <r>
    <x v="6"/>
    <x v="67"/>
    <s v="8804"/>
    <s v="Snejbjerg Sogn"/>
    <x v="1525"/>
    <x v="0"/>
  </r>
  <r>
    <x v="6"/>
    <x v="67"/>
    <s v="8804"/>
    <s v="Snejbjerg Sogn"/>
    <x v="1526"/>
    <x v="0"/>
  </r>
  <r>
    <x v="6"/>
    <x v="67"/>
    <s v="8804"/>
    <s v="Snejbjerg Sogn"/>
    <x v="1527"/>
    <x v="0"/>
  </r>
  <r>
    <x v="6"/>
    <x v="67"/>
    <s v="8805"/>
    <s v="Tjørring Sogn"/>
    <x v="1528"/>
    <x v="0"/>
  </r>
  <r>
    <x v="6"/>
    <x v="67"/>
    <s v="8805"/>
    <s v="Tjørring Sogn"/>
    <x v="1529"/>
    <x v="1"/>
  </r>
  <r>
    <x v="6"/>
    <x v="67"/>
    <s v="8806"/>
    <s v="Studsgård Sogn"/>
    <x v="1530"/>
    <x v="0"/>
  </r>
  <r>
    <x v="6"/>
    <x v="67"/>
    <s v="8807"/>
    <s v="Haunstrup Sogn"/>
    <x v="1531"/>
    <x v="0"/>
  </r>
  <r>
    <x v="6"/>
    <x v="67"/>
    <s v="8837"/>
    <s v="Haderup Sogn"/>
    <x v="1532"/>
    <x v="0"/>
  </r>
  <r>
    <x v="6"/>
    <x v="67"/>
    <s v="8838"/>
    <s v="Grove Sogn"/>
    <x v="1533"/>
    <x v="0"/>
  </r>
  <r>
    <x v="6"/>
    <x v="67"/>
    <s v="8839"/>
    <s v="Simmelkær Sogn"/>
    <x v="1534"/>
    <x v="0"/>
  </r>
  <r>
    <x v="6"/>
    <x v="67"/>
    <s v="9167"/>
    <s v="Ørnhøj Sogn"/>
    <x v="1535"/>
    <x v="0"/>
  </r>
  <r>
    <x v="6"/>
    <x v="67"/>
    <s v="9170"/>
    <s v="Ørre-Sinding Sogn"/>
    <x v="1536"/>
    <x v="0"/>
  </r>
  <r>
    <x v="6"/>
    <x v="67"/>
    <s v="9170"/>
    <s v="Ørre-Sinding Sogn"/>
    <x v="1537"/>
    <x v="0"/>
  </r>
  <r>
    <x v="6"/>
    <x v="67"/>
    <s v="9201"/>
    <s v="Feldborg Sogn"/>
    <x v="1538"/>
    <x v="0"/>
  </r>
  <r>
    <x v="6"/>
    <x v="67"/>
    <s v="9333"/>
    <s v="Timring-Tiphede Sogn"/>
    <x v="1539"/>
    <x v="0"/>
  </r>
  <r>
    <x v="6"/>
    <x v="67"/>
    <s v="9333"/>
    <s v="Timring-Tiphede Sogn"/>
    <x v="1540"/>
    <x v="0"/>
  </r>
  <r>
    <x v="6"/>
    <x v="68"/>
    <s v="8745"/>
    <s v="Nørre Felding Sogn"/>
    <x v="1541"/>
    <x v="0"/>
  </r>
  <r>
    <x v="6"/>
    <x v="68"/>
    <s v="8746"/>
    <s v="Tvis Sogn"/>
    <x v="1542"/>
    <x v="0"/>
  </r>
  <r>
    <x v="6"/>
    <x v="68"/>
    <s v="8813"/>
    <s v="Holstebro Sogn"/>
    <x v="1543"/>
    <x v="0"/>
  </r>
  <r>
    <x v="6"/>
    <x v="68"/>
    <s v="8813"/>
    <s v="Holstebro Sogn"/>
    <x v="1544"/>
    <x v="0"/>
  </r>
  <r>
    <x v="6"/>
    <x v="68"/>
    <s v="8813"/>
    <s v="Holstebro Sogn"/>
    <x v="1545"/>
    <x v="2"/>
  </r>
  <r>
    <x v="6"/>
    <x v="68"/>
    <s v="8813"/>
    <s v="Holstebro Sogn"/>
    <x v="1546"/>
    <x v="0"/>
  </r>
  <r>
    <x v="6"/>
    <x v="68"/>
    <s v="8813"/>
    <s v="Holstebro Sogn"/>
    <x v="1547"/>
    <x v="0"/>
  </r>
  <r>
    <x v="6"/>
    <x v="68"/>
    <s v="8814"/>
    <s v="Måbjerg Sogn"/>
    <x v="1548"/>
    <x v="0"/>
  </r>
  <r>
    <x v="6"/>
    <x v="68"/>
    <s v="8815"/>
    <s v="Nørrelands Sogn"/>
    <x v="1549"/>
    <x v="0"/>
  </r>
  <r>
    <x v="6"/>
    <x v="68"/>
    <s v="8819"/>
    <s v="Mejrup Sogn"/>
    <x v="1550"/>
    <x v="0"/>
  </r>
  <r>
    <x v="6"/>
    <x v="68"/>
    <s v="8821"/>
    <s v="Borbjerg Sogn"/>
    <x v="1551"/>
    <x v="0"/>
  </r>
  <r>
    <x v="6"/>
    <x v="68"/>
    <s v="8825"/>
    <s v="Naur Sogn"/>
    <x v="1552"/>
    <x v="0"/>
  </r>
  <r>
    <x v="6"/>
    <x v="68"/>
    <s v="8826"/>
    <s v="Sir Sogn"/>
    <x v="1553"/>
    <x v="0"/>
  </r>
  <r>
    <x v="6"/>
    <x v="68"/>
    <s v="8832"/>
    <s v="Sahl Sogn"/>
    <x v="1405"/>
    <x v="0"/>
  </r>
  <r>
    <x v="6"/>
    <x v="68"/>
    <s v="8833"/>
    <s v="Ejsing Sogn"/>
    <x v="1554"/>
    <x v="0"/>
  </r>
  <r>
    <x v="6"/>
    <x v="68"/>
    <s v="8834"/>
    <s v="Ryde Sogn"/>
    <x v="713"/>
    <x v="0"/>
  </r>
  <r>
    <x v="6"/>
    <x v="68"/>
    <s v="8835"/>
    <s v="Handbjerg Sogn"/>
    <x v="1555"/>
    <x v="0"/>
  </r>
  <r>
    <x v="6"/>
    <x v="68"/>
    <s v="8836"/>
    <s v="Sevel Sogn"/>
    <x v="1556"/>
    <x v="0"/>
  </r>
  <r>
    <x v="6"/>
    <x v="68"/>
    <s v="9130"/>
    <s v="Mejdal-Halgård Sogn"/>
    <x v="1557"/>
    <x v="0"/>
  </r>
  <r>
    <x v="6"/>
    <x v="68"/>
    <s v="9202"/>
    <s v="Vinderup Sogn"/>
    <x v="1558"/>
    <x v="0"/>
  </r>
  <r>
    <x v="6"/>
    <x v="68"/>
    <s v="9203"/>
    <s v="Trandum Sogn"/>
    <x v="1559"/>
    <x v="0"/>
  </r>
  <r>
    <x v="6"/>
    <x v="68"/>
    <s v="9204"/>
    <s v="Herrup Sogn"/>
    <x v="1560"/>
    <x v="0"/>
  </r>
  <r>
    <x v="6"/>
    <x v="68"/>
    <s v="9206"/>
    <s v="Ellebæk Sogn"/>
    <x v="1561"/>
    <x v="0"/>
  </r>
  <r>
    <x v="6"/>
    <x v="68"/>
    <s v="9207"/>
    <s v="Hogager Sogn"/>
    <x v="1562"/>
    <x v="0"/>
  </r>
  <r>
    <x v="6"/>
    <x v="68"/>
    <s v="9317"/>
    <s v="Idom-Råsted Sogn"/>
    <x v="1563"/>
    <x v="0"/>
  </r>
  <r>
    <x v="6"/>
    <x v="68"/>
    <s v="9317"/>
    <s v="Idom-Råsted Sogn"/>
    <x v="1564"/>
    <x v="0"/>
  </r>
  <r>
    <x v="6"/>
    <x v="69"/>
    <s v="8789"/>
    <s v="Herning Sogn"/>
    <x v="1565"/>
    <x v="0"/>
  </r>
  <r>
    <x v="6"/>
    <x v="69"/>
    <s v="8789"/>
    <s v="Herning Sogn"/>
    <x v="1566"/>
    <x v="0"/>
  </r>
  <r>
    <x v="6"/>
    <x v="69"/>
    <s v="8789"/>
    <s v="Herning Sogn"/>
    <x v="1567"/>
    <x v="0"/>
  </r>
  <r>
    <x v="6"/>
    <x v="69"/>
    <s v="8790"/>
    <s v="Sankt Johannes Sogn"/>
    <x v="1568"/>
    <x v="0"/>
  </r>
  <r>
    <x v="6"/>
    <x v="69"/>
    <s v="8790"/>
    <s v="Sankt Johannes Sogn"/>
    <x v="10"/>
    <x v="0"/>
  </r>
  <r>
    <x v="6"/>
    <x v="69"/>
    <s v="8791"/>
    <s v="Fredens Sogn"/>
    <x v="113"/>
    <x v="0"/>
  </r>
  <r>
    <x v="6"/>
    <x v="69"/>
    <s v="8799"/>
    <s v="Gjellerup Sogn"/>
    <x v="1569"/>
    <x v="0"/>
  </r>
  <r>
    <x v="6"/>
    <x v="69"/>
    <s v="8799"/>
    <s v="Gjellerup Sogn"/>
    <x v="1570"/>
    <x v="0"/>
  </r>
  <r>
    <x v="6"/>
    <x v="69"/>
    <s v="8803"/>
    <s v="Rind Sogn"/>
    <x v="1571"/>
    <x v="0"/>
  </r>
  <r>
    <x v="6"/>
    <x v="69"/>
    <s v="8803"/>
    <s v="Rind Sogn"/>
    <x v="1572"/>
    <x v="0"/>
  </r>
  <r>
    <x v="6"/>
    <x v="69"/>
    <s v="8808"/>
    <s v="Sønder Felding Sogn"/>
    <x v="1573"/>
    <x v="0"/>
  </r>
  <r>
    <x v="6"/>
    <x v="69"/>
    <s v="8809"/>
    <s v="Assing Sogn"/>
    <x v="1574"/>
    <x v="0"/>
  </r>
  <r>
    <x v="6"/>
    <x v="69"/>
    <s v="8810"/>
    <s v="Skarrild Sogn"/>
    <x v="1575"/>
    <x v="0"/>
  </r>
  <r>
    <x v="6"/>
    <x v="69"/>
    <s v="8811"/>
    <s v="Arnborg Sogn"/>
    <x v="1576"/>
    <x v="0"/>
  </r>
  <r>
    <x v="6"/>
    <x v="69"/>
    <s v="9091"/>
    <s v="Hedeager Sogn"/>
    <x v="1577"/>
    <x v="0"/>
  </r>
  <r>
    <x v="6"/>
    <x v="69"/>
    <s v="9119"/>
    <s v="Kølkær Sogn"/>
    <x v="1578"/>
    <x v="0"/>
  </r>
  <r>
    <x v="6"/>
    <x v="69"/>
    <s v="9120"/>
    <s v="Kollund Sogn"/>
    <x v="1579"/>
    <x v="0"/>
  </r>
  <r>
    <x v="6"/>
    <x v="69"/>
    <s v="9125"/>
    <s v="Ilderhede Sogn"/>
    <x v="1580"/>
    <x v="0"/>
  </r>
  <r>
    <x v="6"/>
    <x v="69"/>
    <s v="9141"/>
    <s v="Gullestrup Sogn"/>
    <x v="1581"/>
    <x v="0"/>
  </r>
  <r>
    <x v="6"/>
    <x v="69"/>
    <s v="9209"/>
    <s v="Fasterholt Sogn"/>
    <x v="1582"/>
    <x v="0"/>
  </r>
  <r>
    <x v="6"/>
    <x v="69"/>
    <s v="9210"/>
    <s v="Karstoft Sogn"/>
    <x v="1583"/>
    <x v="0"/>
  </r>
  <r>
    <x v="6"/>
    <x v="70"/>
    <s v="8841"/>
    <s v="Nørlem Sogn"/>
    <x v="1584"/>
    <x v="0"/>
  </r>
  <r>
    <x v="6"/>
    <x v="70"/>
    <s v="8842"/>
    <s v="Nørre Nissum Sogn"/>
    <x v="1585"/>
    <x v="0"/>
  </r>
  <r>
    <x v="6"/>
    <x v="70"/>
    <s v="8843"/>
    <s v="Tørring Sogn"/>
    <x v="1586"/>
    <x v="0"/>
  </r>
  <r>
    <x v="6"/>
    <x v="70"/>
    <s v="8847"/>
    <s v="Bøvling Sogn"/>
    <x v="1587"/>
    <x v="2"/>
  </r>
  <r>
    <x v="6"/>
    <x v="70"/>
    <s v="8847"/>
    <s v="Bøvling Sogn"/>
    <x v="1588"/>
    <x v="1"/>
  </r>
  <r>
    <x v="6"/>
    <x v="70"/>
    <s v="8847"/>
    <s v="Bøvling Sogn"/>
    <x v="1589"/>
    <x v="0"/>
  </r>
  <r>
    <x v="6"/>
    <x v="70"/>
    <s v="8848"/>
    <s v="Flynder Sogn"/>
    <x v="1590"/>
    <x v="0"/>
  </r>
  <r>
    <x v="6"/>
    <x v="70"/>
    <s v="8849"/>
    <s v="Møborg Sogn"/>
    <x v="1591"/>
    <x v="0"/>
  </r>
  <r>
    <x v="6"/>
    <x v="70"/>
    <s v="8850"/>
    <s v="Nees Sogn"/>
    <x v="1592"/>
    <x v="0"/>
  </r>
  <r>
    <x v="6"/>
    <x v="70"/>
    <s v="8851"/>
    <s v="Gudum Sogn"/>
    <x v="689"/>
    <x v="0"/>
  </r>
  <r>
    <x v="6"/>
    <x v="70"/>
    <s v="8852"/>
    <s v="Fabjerg Sogn"/>
    <x v="1593"/>
    <x v="0"/>
  </r>
  <r>
    <x v="6"/>
    <x v="70"/>
    <s v="8856"/>
    <s v="Harboøre Sogn"/>
    <x v="1594"/>
    <x v="0"/>
  </r>
  <r>
    <x v="6"/>
    <x v="70"/>
    <s v="8856"/>
    <s v="Harboøre Sogn"/>
    <x v="1595"/>
    <x v="0"/>
  </r>
  <r>
    <x v="6"/>
    <x v="70"/>
    <s v="8856"/>
    <s v="Harboøre Sogn"/>
    <x v="1596"/>
    <x v="2"/>
  </r>
  <r>
    <x v="6"/>
    <x v="70"/>
    <s v="8857"/>
    <s v="Engbjerg Sogn"/>
    <x v="1597"/>
    <x v="0"/>
  </r>
  <r>
    <x v="6"/>
    <x v="70"/>
    <s v="8858"/>
    <s v="Thyborøn Sogn"/>
    <x v="1598"/>
    <x v="0"/>
  </r>
  <r>
    <x v="6"/>
    <x v="70"/>
    <s v="8858"/>
    <s v="Thyborøn Sogn"/>
    <x v="1599"/>
    <x v="0"/>
  </r>
  <r>
    <x v="6"/>
    <x v="70"/>
    <s v="8859"/>
    <s v="Hygum Sogn"/>
    <x v="1600"/>
    <x v="0"/>
  </r>
  <r>
    <x v="6"/>
    <x v="70"/>
    <s v="8860"/>
    <s v="Hove Sogn"/>
    <x v="1601"/>
    <x v="0"/>
  </r>
  <r>
    <x v="6"/>
    <x v="70"/>
    <s v="8861"/>
    <s v="Vandborg Sogn"/>
    <x v="1602"/>
    <x v="0"/>
  </r>
  <r>
    <x v="6"/>
    <x v="70"/>
    <s v="8862"/>
    <s v="Ferring Sogn"/>
    <x v="1603"/>
    <x v="0"/>
  </r>
  <r>
    <x v="6"/>
    <x v="70"/>
    <s v="8863"/>
    <s v="Dybe Sogn"/>
    <x v="1604"/>
    <x v="0"/>
  </r>
  <r>
    <x v="6"/>
    <x v="70"/>
    <s v="8864"/>
    <s v="Ramme Sogn"/>
    <x v="1605"/>
    <x v="0"/>
  </r>
  <r>
    <x v="6"/>
    <x v="70"/>
    <s v="8865"/>
    <s v="Fjaltring Sogn"/>
    <x v="1606"/>
    <x v="0"/>
  </r>
  <r>
    <x v="6"/>
    <x v="70"/>
    <s v="8866"/>
    <s v="Trans Sogn"/>
    <x v="1607"/>
    <x v="0"/>
  </r>
  <r>
    <x v="6"/>
    <x v="70"/>
    <s v="9314"/>
    <s v="Lomborg-Rom Sogn"/>
    <x v="1608"/>
    <x v="0"/>
  </r>
  <r>
    <x v="6"/>
    <x v="70"/>
    <s v="9314"/>
    <s v="Lomborg-Rom Sogn"/>
    <x v="1609"/>
    <x v="0"/>
  </r>
  <r>
    <x v="6"/>
    <x v="70"/>
    <s v="9342"/>
    <s v="Lemvig Sogn"/>
    <x v="1610"/>
    <x v="0"/>
  </r>
  <r>
    <x v="6"/>
    <x v="70"/>
    <s v="9342"/>
    <s v="Lemvig Sogn"/>
    <x v="1611"/>
    <x v="0"/>
  </r>
  <r>
    <x v="6"/>
    <x v="70"/>
    <s v="9342"/>
    <s v="Lemvig Sogn"/>
    <x v="1612"/>
    <x v="2"/>
  </r>
  <r>
    <x v="6"/>
    <x v="70"/>
    <s v="9342"/>
    <s v="Lemvig Sogn"/>
    <x v="1613"/>
    <x v="0"/>
  </r>
  <r>
    <x v="6"/>
    <x v="71"/>
    <s v="7974"/>
    <s v="Brande Sogn"/>
    <x v="1614"/>
    <x v="0"/>
  </r>
  <r>
    <x v="6"/>
    <x v="71"/>
    <s v="7980"/>
    <s v="Blåhøj Sogn"/>
    <x v="1615"/>
    <x v="0"/>
  </r>
  <r>
    <x v="6"/>
    <x v="71"/>
    <s v="7999"/>
    <s v="Nørre Snede Sogn"/>
    <x v="1616"/>
    <x v="0"/>
  </r>
  <r>
    <x v="6"/>
    <x v="71"/>
    <s v="7999"/>
    <s v="Nørre Snede Sogn"/>
    <x v="1617"/>
    <x v="1"/>
  </r>
  <r>
    <x v="6"/>
    <x v="71"/>
    <s v="7999"/>
    <s v="Nørre Snede Sogn"/>
    <x v="1618"/>
    <x v="0"/>
  </r>
  <r>
    <x v="6"/>
    <x v="71"/>
    <s v="8000"/>
    <s v="Ejstrup Sogn"/>
    <x v="1619"/>
    <x v="0"/>
  </r>
  <r>
    <x v="6"/>
    <x v="71"/>
    <s v="8005"/>
    <s v="Klovborg Sogn"/>
    <x v="1620"/>
    <x v="0"/>
  </r>
  <r>
    <x v="6"/>
    <x v="71"/>
    <s v="8590"/>
    <s v="Vium Sogn"/>
    <x v="1621"/>
    <x v="0"/>
  </r>
  <r>
    <x v="6"/>
    <x v="71"/>
    <s v="8596"/>
    <s v="Ans-Grønbæk Sogn"/>
    <x v="1622"/>
    <x v="1"/>
  </r>
  <r>
    <x v="6"/>
    <x v="71"/>
    <s v="8596"/>
    <s v="Ans-Grønbæk Sogn"/>
    <x v="1623"/>
    <x v="0"/>
  </r>
  <r>
    <x v="6"/>
    <x v="71"/>
    <s v="8597"/>
    <s v="Levring Sogn"/>
    <x v="1624"/>
    <x v="0"/>
  </r>
  <r>
    <x v="6"/>
    <x v="71"/>
    <s v="8598"/>
    <s v="Hørup Sogn"/>
    <x v="1625"/>
    <x v="0"/>
  </r>
  <r>
    <x v="6"/>
    <x v="71"/>
    <s v="8599"/>
    <s v="Hinge Sogn"/>
    <x v="1626"/>
    <x v="0"/>
  </r>
  <r>
    <x v="6"/>
    <x v="71"/>
    <s v="8600"/>
    <s v="Vinderslev Sogn"/>
    <x v="1627"/>
    <x v="0"/>
  </r>
  <r>
    <x v="6"/>
    <x v="71"/>
    <s v="8601"/>
    <s v="Thorning Sogn"/>
    <x v="1628"/>
    <x v="0"/>
  </r>
  <r>
    <x v="6"/>
    <x v="71"/>
    <s v="8612"/>
    <s v="Engesvang Sogn"/>
    <x v="1629"/>
    <x v="0"/>
  </r>
  <r>
    <x v="6"/>
    <x v="71"/>
    <s v="8802"/>
    <s v="Ikast Sogn"/>
    <x v="1630"/>
    <x v="0"/>
  </r>
  <r>
    <x v="6"/>
    <x v="71"/>
    <s v="8802"/>
    <s v="Ikast Sogn"/>
    <x v="1631"/>
    <x v="0"/>
  </r>
  <r>
    <x v="6"/>
    <x v="71"/>
    <s v="8812"/>
    <s v="Bording Sogn"/>
    <x v="1632"/>
    <x v="0"/>
  </r>
  <r>
    <x v="6"/>
    <x v="71"/>
    <s v="9123"/>
    <s v="Isenvad Sogn"/>
    <x v="1633"/>
    <x v="0"/>
  </r>
  <r>
    <x v="6"/>
    <x v="71"/>
    <s v="9152"/>
    <s v="Fonnesbæk Sogn"/>
    <x v="1634"/>
    <x v="0"/>
  </r>
  <r>
    <x v="6"/>
    <x v="71"/>
    <s v="9211"/>
    <s v="Faurholt Sogn"/>
    <x v="1635"/>
    <x v="0"/>
  </r>
  <r>
    <x v="6"/>
    <x v="71"/>
    <s v="9212"/>
    <s v="Christianshede Sogn"/>
    <x v="1636"/>
    <x v="0"/>
  </r>
  <r>
    <x v="6"/>
    <x v="71"/>
    <s v="9213"/>
    <s v="Grathe Sogn"/>
    <x v="1637"/>
    <x v="0"/>
  </r>
  <r>
    <x v="6"/>
    <x v="71"/>
    <s v="9281"/>
    <s v="Skærlund Sogn"/>
    <x v="1638"/>
    <x v="0"/>
  </r>
  <r>
    <x v="6"/>
    <x v="71"/>
    <s v="9282"/>
    <s v="Uhre Sogn"/>
    <x v="1639"/>
    <x v="0"/>
  </r>
  <r>
    <x v="6"/>
    <x v="71"/>
    <s v="9288"/>
    <s v="Gludsted Sogn"/>
    <x v="1640"/>
    <x v="0"/>
  </r>
  <r>
    <x v="6"/>
    <x v="71"/>
    <s v="9289"/>
    <s v="Hampen Sogn"/>
    <x v="1641"/>
    <x v="0"/>
  </r>
  <r>
    <x v="6"/>
    <x v="72"/>
    <s v="8659"/>
    <s v="Jegindø Sogn"/>
    <x v="1642"/>
    <x v="0"/>
  </r>
  <r>
    <x v="6"/>
    <x v="72"/>
    <s v="8816"/>
    <s v="Struer Sogn"/>
    <x v="1643"/>
    <x v="0"/>
  </r>
  <r>
    <x v="6"/>
    <x v="72"/>
    <s v="8816"/>
    <s v="Struer Sogn"/>
    <x v="1644"/>
    <x v="0"/>
  </r>
  <r>
    <x v="6"/>
    <x v="72"/>
    <s v="8816"/>
    <s v="Struer Sogn"/>
    <x v="1645"/>
    <x v="2"/>
  </r>
  <r>
    <x v="6"/>
    <x v="72"/>
    <s v="8817"/>
    <s v="Gimsing Sogn"/>
    <x v="1646"/>
    <x v="0"/>
  </r>
  <r>
    <x v="6"/>
    <x v="72"/>
    <s v="8818"/>
    <s v="Vejrum Sogn"/>
    <x v="1433"/>
    <x v="0"/>
  </r>
  <r>
    <x v="6"/>
    <x v="72"/>
    <s v="8822"/>
    <s v="Ølby Sogn"/>
    <x v="403"/>
    <x v="0"/>
  </r>
  <r>
    <x v="6"/>
    <x v="72"/>
    <s v="8823"/>
    <s v="Asp Sogn"/>
    <x v="1647"/>
    <x v="0"/>
  </r>
  <r>
    <x v="6"/>
    <x v="72"/>
    <s v="8824"/>
    <s v="Fousing Sogn"/>
    <x v="1648"/>
    <x v="0"/>
  </r>
  <r>
    <x v="6"/>
    <x v="72"/>
    <s v="8853"/>
    <s v="Resen Sogn"/>
    <x v="1382"/>
    <x v="0"/>
  </r>
  <r>
    <x v="6"/>
    <x v="72"/>
    <s v="8854"/>
    <s v="Humlum Sogn"/>
    <x v="1649"/>
    <x v="0"/>
  </r>
  <r>
    <x v="6"/>
    <x v="72"/>
    <s v="8855"/>
    <s v="Venø Sogn"/>
    <x v="1650"/>
    <x v="0"/>
  </r>
  <r>
    <x v="6"/>
    <x v="72"/>
    <s v="9335"/>
    <s v="Hjerm Sogn"/>
    <x v="1651"/>
    <x v="0"/>
  </r>
  <r>
    <x v="6"/>
    <x v="72"/>
    <s v="9335"/>
    <s v="Hjerm Sogn"/>
    <x v="1652"/>
    <x v="0"/>
  </r>
  <r>
    <x v="6"/>
    <x v="72"/>
    <s v="9347"/>
    <s v="Hvidbjerg-Lyngs Sogn"/>
    <x v="1653"/>
    <x v="0"/>
  </r>
  <r>
    <x v="6"/>
    <x v="72"/>
    <s v="9347"/>
    <s v="Hvidbjerg-Lyngs Sogn"/>
    <x v="1270"/>
    <x v="0"/>
  </r>
  <r>
    <x v="6"/>
    <x v="72"/>
    <s v="9359"/>
    <s v="Søndbjerg-Odby Sogn"/>
    <x v="1654"/>
    <x v="0"/>
  </r>
  <r>
    <x v="6"/>
    <x v="72"/>
    <s v="9359"/>
    <s v="Søndbjerg-Odby Sogn"/>
    <x v="1655"/>
    <x v="0"/>
  </r>
  <r>
    <x v="7"/>
    <x v="73"/>
    <s v="8114"/>
    <s v="Aarhus Domsogn"/>
    <x v="1656"/>
    <x v="0"/>
  </r>
  <r>
    <x v="7"/>
    <x v="73"/>
    <s v="8115"/>
    <s v="Vor Frue Sogn"/>
    <x v="1657"/>
    <x v="1"/>
  </r>
  <r>
    <x v="7"/>
    <x v="73"/>
    <s v="8115"/>
    <s v="Vor Frue Sogn"/>
    <x v="117"/>
    <x v="0"/>
  </r>
  <r>
    <x v="7"/>
    <x v="73"/>
    <s v="8115"/>
    <s v="Vor Frue Sogn"/>
    <x v="779"/>
    <x v="1"/>
  </r>
  <r>
    <x v="7"/>
    <x v="73"/>
    <s v="8116"/>
    <s v="Sankt Markus Sogn"/>
    <x v="24"/>
    <x v="0"/>
  </r>
  <r>
    <x v="7"/>
    <x v="73"/>
    <s v="8118"/>
    <s v="Sankt Pauls Sogn"/>
    <x v="1658"/>
    <x v="0"/>
  </r>
  <r>
    <x v="7"/>
    <x v="73"/>
    <s v="8118"/>
    <s v="Sankt Pauls Sogn"/>
    <x v="136"/>
    <x v="0"/>
  </r>
  <r>
    <x v="7"/>
    <x v="73"/>
    <s v="8119"/>
    <s v="Langenæs Sogn"/>
    <x v="1659"/>
    <x v="0"/>
  </r>
  <r>
    <x v="7"/>
    <x v="73"/>
    <s v="8120"/>
    <s v="Sankt Johannes Sogn"/>
    <x v="1660"/>
    <x v="0"/>
  </r>
  <r>
    <x v="7"/>
    <x v="73"/>
    <s v="8120"/>
    <s v="Sankt Johannes Sogn"/>
    <x v="10"/>
    <x v="0"/>
  </r>
  <r>
    <x v="7"/>
    <x v="73"/>
    <s v="8120"/>
    <s v="Sankt Johannes Sogn"/>
    <x v="1661"/>
    <x v="0"/>
  </r>
  <r>
    <x v="7"/>
    <x v="73"/>
    <s v="8121"/>
    <s v="Christians Sogn"/>
    <x v="85"/>
    <x v="0"/>
  </r>
  <r>
    <x v="7"/>
    <x v="73"/>
    <s v="8132"/>
    <s v="Sankt Lukas Sogn"/>
    <x v="12"/>
    <x v="0"/>
  </r>
  <r>
    <x v="7"/>
    <x v="73"/>
    <s v="9183"/>
    <s v="Samsø Sogn"/>
    <x v="1662"/>
    <x v="0"/>
  </r>
  <r>
    <x v="7"/>
    <x v="73"/>
    <s v="9183"/>
    <s v="Samsø Sogn"/>
    <x v="1663"/>
    <x v="0"/>
  </r>
  <r>
    <x v="7"/>
    <x v="73"/>
    <s v="9183"/>
    <s v="Samsø Sogn"/>
    <x v="1664"/>
    <x v="1"/>
  </r>
  <r>
    <x v="7"/>
    <x v="73"/>
    <s v="9183"/>
    <s v="Samsø Sogn"/>
    <x v="1665"/>
    <x v="0"/>
  </r>
  <r>
    <x v="7"/>
    <x v="73"/>
    <s v="9183"/>
    <s v="Samsø Sogn"/>
    <x v="1666"/>
    <x v="0"/>
  </r>
  <r>
    <x v="7"/>
    <x v="73"/>
    <s v="9183"/>
    <s v="Samsø Sogn"/>
    <x v="1667"/>
    <x v="1"/>
  </r>
  <r>
    <x v="7"/>
    <x v="73"/>
    <s v="9183"/>
    <s v="Samsø Sogn"/>
    <x v="1668"/>
    <x v="0"/>
  </r>
  <r>
    <x v="7"/>
    <x v="73"/>
    <s v="9183"/>
    <s v="Samsø Sogn"/>
    <x v="1669"/>
    <x v="0"/>
  </r>
  <r>
    <x v="7"/>
    <x v="74"/>
    <s v="8086"/>
    <s v="Tunø Sogn"/>
    <x v="1670"/>
    <x v="0"/>
  </r>
  <r>
    <x v="7"/>
    <x v="74"/>
    <s v="8087"/>
    <s v="Odder Sogn"/>
    <x v="1671"/>
    <x v="2"/>
  </r>
  <r>
    <x v="7"/>
    <x v="74"/>
    <s v="8087"/>
    <s v="Odder Sogn"/>
    <x v="1672"/>
    <x v="0"/>
  </r>
  <r>
    <x v="7"/>
    <x v="74"/>
    <s v="8087"/>
    <s v="Odder Sogn"/>
    <x v="1673"/>
    <x v="2"/>
  </r>
  <r>
    <x v="7"/>
    <x v="74"/>
    <s v="8087"/>
    <s v="Odder Sogn"/>
    <x v="1674"/>
    <x v="0"/>
  </r>
  <r>
    <x v="7"/>
    <x v="74"/>
    <s v="8088"/>
    <s v="Torrild Sogn"/>
    <x v="1675"/>
    <x v="0"/>
  </r>
  <r>
    <x v="7"/>
    <x v="74"/>
    <s v="8089"/>
    <s v="Saksild Sogn"/>
    <x v="1676"/>
    <x v="0"/>
  </r>
  <r>
    <x v="7"/>
    <x v="74"/>
    <s v="8090"/>
    <s v="Nølev Sogn"/>
    <x v="1677"/>
    <x v="0"/>
  </r>
  <r>
    <x v="7"/>
    <x v="74"/>
    <s v="8091"/>
    <s v="Randlev Sogn"/>
    <x v="1678"/>
    <x v="0"/>
  </r>
  <r>
    <x v="7"/>
    <x v="74"/>
    <s v="8092"/>
    <s v="Bjerager Sogn"/>
    <x v="1679"/>
    <x v="0"/>
  </r>
  <r>
    <x v="7"/>
    <x v="74"/>
    <s v="8093"/>
    <s v="Hundslund Sogn"/>
    <x v="1680"/>
    <x v="0"/>
  </r>
  <r>
    <x v="7"/>
    <x v="74"/>
    <s v="8094"/>
    <s v="Ørting Sogn"/>
    <x v="1681"/>
    <x v="0"/>
  </r>
  <r>
    <x v="7"/>
    <x v="74"/>
    <s v="8095"/>
    <s v="Falling Sogn"/>
    <x v="1682"/>
    <x v="0"/>
  </r>
  <r>
    <x v="7"/>
    <x v="74"/>
    <s v="8096"/>
    <s v="Gosmer Sogn"/>
    <x v="1683"/>
    <x v="0"/>
  </r>
  <r>
    <x v="7"/>
    <x v="74"/>
    <s v="8097"/>
    <s v="Halling Sogn"/>
    <x v="1684"/>
    <x v="0"/>
  </r>
  <r>
    <x v="7"/>
    <x v="74"/>
    <s v="8098"/>
    <s v="Gylling Sogn"/>
    <x v="1685"/>
    <x v="0"/>
  </r>
  <r>
    <x v="7"/>
    <x v="74"/>
    <s v="8099"/>
    <s v="Alrø Sogn"/>
    <x v="1686"/>
    <x v="0"/>
  </r>
  <r>
    <x v="7"/>
    <x v="75"/>
    <s v="7988"/>
    <s v="Gammel Rye Sogn"/>
    <x v="1687"/>
    <x v="0"/>
  </r>
  <r>
    <x v="7"/>
    <x v="75"/>
    <s v="7990"/>
    <s v="Voerladegård Sogn"/>
    <x v="1688"/>
    <x v="0"/>
  </r>
  <r>
    <x v="7"/>
    <x v="75"/>
    <s v="8010"/>
    <s v="Stilling Sogn"/>
    <x v="1689"/>
    <x v="0"/>
  </r>
  <r>
    <x v="7"/>
    <x v="75"/>
    <s v="8011"/>
    <s v="Blegind Sogn"/>
    <x v="1690"/>
    <x v="0"/>
  </r>
  <r>
    <x v="7"/>
    <x v="75"/>
    <s v="8012"/>
    <s v="Hørning Sogn"/>
    <x v="1691"/>
    <x v="0"/>
  </r>
  <r>
    <x v="7"/>
    <x v="75"/>
    <s v="8013"/>
    <s v="Adslev Sogn"/>
    <x v="1692"/>
    <x v="0"/>
  </r>
  <r>
    <x v="7"/>
    <x v="75"/>
    <s v="8014"/>
    <s v="Dover Sogn"/>
    <x v="1693"/>
    <x v="0"/>
  </r>
  <r>
    <x v="7"/>
    <x v="75"/>
    <s v="8015"/>
    <s v="Veng Sogn"/>
    <x v="1694"/>
    <x v="0"/>
  </r>
  <r>
    <x v="7"/>
    <x v="75"/>
    <s v="8016"/>
    <s v="Mesing Sogn"/>
    <x v="1695"/>
    <x v="0"/>
  </r>
  <r>
    <x v="7"/>
    <x v="75"/>
    <s v="8032"/>
    <s v="Låsby Sogn"/>
    <x v="1696"/>
    <x v="0"/>
  </r>
  <r>
    <x v="7"/>
    <x v="75"/>
    <s v="8033"/>
    <s v="Alling Sogn"/>
    <x v="1697"/>
    <x v="0"/>
  </r>
  <r>
    <x v="7"/>
    <x v="75"/>
    <s v="8034"/>
    <s v="Tulstrup Sogn"/>
    <x v="1698"/>
    <x v="0"/>
  </r>
  <r>
    <x v="7"/>
    <x v="75"/>
    <s v="8035"/>
    <s v="Fruering Sogn"/>
    <x v="1699"/>
    <x v="0"/>
  </r>
  <r>
    <x v="7"/>
    <x v="75"/>
    <s v="8039"/>
    <s v="Ovsted Sogn"/>
    <x v="1700"/>
    <x v="0"/>
  </r>
  <r>
    <x v="7"/>
    <x v="75"/>
    <s v="8040"/>
    <s v="Tåning Sogn"/>
    <x v="1701"/>
    <x v="0"/>
  </r>
  <r>
    <x v="7"/>
    <x v="75"/>
    <s v="8041"/>
    <s v="Hylke Sogn"/>
    <x v="1702"/>
    <x v="0"/>
  </r>
  <r>
    <x v="7"/>
    <x v="75"/>
    <s v="8075"/>
    <s v="Sjelle Sogn"/>
    <x v="1703"/>
    <x v="0"/>
  </r>
  <r>
    <x v="7"/>
    <x v="75"/>
    <s v="8076"/>
    <s v="Skjørring Sogn"/>
    <x v="1704"/>
    <x v="0"/>
  </r>
  <r>
    <x v="7"/>
    <x v="75"/>
    <s v="8077"/>
    <s v="Skivholme Sogn"/>
    <x v="1705"/>
    <x v="0"/>
  </r>
  <r>
    <x v="7"/>
    <x v="75"/>
    <s v="8078"/>
    <s v="Skovby Sogn"/>
    <x v="835"/>
    <x v="0"/>
  </r>
  <r>
    <x v="7"/>
    <x v="75"/>
    <s v="8078"/>
    <s v="Skovby Sogn"/>
    <x v="1706"/>
    <x v="0"/>
  </r>
  <r>
    <x v="7"/>
    <x v="75"/>
    <s v="8083"/>
    <s v="Storring Sogn"/>
    <x v="1707"/>
    <x v="0"/>
  </r>
  <r>
    <x v="7"/>
    <x v="75"/>
    <s v="8084"/>
    <s v="Stjær Sogn"/>
    <x v="1708"/>
    <x v="0"/>
  </r>
  <r>
    <x v="7"/>
    <x v="75"/>
    <s v="8085"/>
    <s v="Galten Sogn"/>
    <x v="1709"/>
    <x v="0"/>
  </r>
  <r>
    <x v="7"/>
    <x v="75"/>
    <s v="9104"/>
    <s v="Ry Sogn"/>
    <x v="1710"/>
    <x v="0"/>
  </r>
  <r>
    <x v="7"/>
    <x v="75"/>
    <s v="9166"/>
    <s v="Skanderborg Sogn"/>
    <x v="1711"/>
    <x v="0"/>
  </r>
  <r>
    <x v="7"/>
    <x v="75"/>
    <s v="9166"/>
    <s v="Skanderborg Sogn"/>
    <x v="1712"/>
    <x v="0"/>
  </r>
  <r>
    <x v="7"/>
    <x v="75"/>
    <s v="9166"/>
    <s v="Skanderborg Sogn"/>
    <x v="1713"/>
    <x v="0"/>
  </r>
  <r>
    <x v="7"/>
    <x v="75"/>
    <s v="9166"/>
    <s v="Skanderborg Sogn"/>
    <x v="1714"/>
    <x v="0"/>
  </r>
  <r>
    <x v="7"/>
    <x v="75"/>
    <s v="9166"/>
    <s v="Skanderborg Sogn"/>
    <x v="1715"/>
    <x v="0"/>
  </r>
  <r>
    <x v="7"/>
    <x v="75"/>
    <s v="9166"/>
    <s v="Skanderborg Sogn"/>
    <x v="1716"/>
    <x v="0"/>
  </r>
  <r>
    <x v="7"/>
    <x v="76"/>
    <s v="7964"/>
    <s v="Hatting Sogn"/>
    <x v="1717"/>
    <x v="0"/>
  </r>
  <r>
    <x v="7"/>
    <x v="76"/>
    <s v="7966"/>
    <s v="Torsted Sogn"/>
    <x v="1718"/>
    <x v="0"/>
  </r>
  <r>
    <x v="7"/>
    <x v="76"/>
    <s v="7966"/>
    <s v="Torsted Sogn"/>
    <x v="1719"/>
    <x v="0"/>
  </r>
  <r>
    <x v="7"/>
    <x v="76"/>
    <s v="7967"/>
    <s v="Tyrsted Sogn"/>
    <x v="1720"/>
    <x v="0"/>
  </r>
  <r>
    <x v="7"/>
    <x v="76"/>
    <s v="7968"/>
    <s v="Uth Sogn"/>
    <x v="1721"/>
    <x v="0"/>
  </r>
  <r>
    <x v="7"/>
    <x v="76"/>
    <s v="7989"/>
    <s v="Sønder Vissing Sogn"/>
    <x v="1722"/>
    <x v="0"/>
  </r>
  <r>
    <x v="7"/>
    <x v="76"/>
    <s v="7991"/>
    <s v="Grædstrup Sogn"/>
    <x v="1723"/>
    <x v="0"/>
  </r>
  <r>
    <x v="7"/>
    <x v="76"/>
    <s v="7994"/>
    <s v="Brædstrup Sogn"/>
    <x v="1724"/>
    <x v="0"/>
  </r>
  <r>
    <x v="7"/>
    <x v="76"/>
    <s v="7995"/>
    <s v="Føvling Sogn"/>
    <x v="1725"/>
    <x v="0"/>
  </r>
  <r>
    <x v="7"/>
    <x v="76"/>
    <s v="7996"/>
    <s v="Tønning Sogn"/>
    <x v="1726"/>
    <x v="0"/>
  </r>
  <r>
    <x v="7"/>
    <x v="76"/>
    <s v="7997"/>
    <s v="Træden Sogn"/>
    <x v="1727"/>
    <x v="0"/>
  </r>
  <r>
    <x v="7"/>
    <x v="76"/>
    <s v="8006"/>
    <s v="Tyrsting Sogn"/>
    <x v="1728"/>
    <x v="0"/>
  </r>
  <r>
    <x v="7"/>
    <x v="76"/>
    <s v="8037"/>
    <s v="Østbirk Sogn"/>
    <x v="1729"/>
    <x v="0"/>
  </r>
  <r>
    <x v="7"/>
    <x v="76"/>
    <s v="8038"/>
    <s v="Yding Sogn"/>
    <x v="1730"/>
    <x v="0"/>
  </r>
  <r>
    <x v="7"/>
    <x v="76"/>
    <s v="8042"/>
    <s v="Kattrup Sogn"/>
    <x v="1731"/>
    <x v="0"/>
  </r>
  <r>
    <x v="7"/>
    <x v="76"/>
    <s v="8043"/>
    <s v="Tolstrup Sogn"/>
    <x v="1119"/>
    <x v="0"/>
  </r>
  <r>
    <x v="7"/>
    <x v="76"/>
    <s v="8044"/>
    <s v="Ørridslev Sogn"/>
    <x v="1732"/>
    <x v="0"/>
  </r>
  <r>
    <x v="7"/>
    <x v="76"/>
    <s v="8045"/>
    <s v="Vedslet Sogn"/>
    <x v="1733"/>
    <x v="0"/>
  </r>
  <r>
    <x v="7"/>
    <x v="76"/>
    <s v="8046"/>
    <s v="Lundum Sogn"/>
    <x v="1734"/>
    <x v="0"/>
  </r>
  <r>
    <x v="7"/>
    <x v="76"/>
    <s v="8047"/>
    <s v="Hansted Sogn"/>
    <x v="1245"/>
    <x v="0"/>
  </r>
  <r>
    <x v="7"/>
    <x v="76"/>
    <s v="8048"/>
    <s v="Vær Sogn"/>
    <x v="1735"/>
    <x v="0"/>
  </r>
  <r>
    <x v="7"/>
    <x v="76"/>
    <s v="8049"/>
    <s v="Nebel Sogn"/>
    <x v="1736"/>
    <x v="0"/>
  </r>
  <r>
    <x v="7"/>
    <x v="76"/>
    <s v="8050"/>
    <s v="Gangsted Sogn"/>
    <x v="1737"/>
    <x v="0"/>
  </r>
  <r>
    <x v="7"/>
    <x v="76"/>
    <s v="8051"/>
    <s v="Søvind Sogn"/>
    <x v="1738"/>
    <x v="0"/>
  </r>
  <r>
    <x v="7"/>
    <x v="76"/>
    <s v="8052"/>
    <s v="Klostersogn"/>
    <x v="779"/>
    <x v="0"/>
  </r>
  <r>
    <x v="7"/>
    <x v="76"/>
    <s v="8052"/>
    <s v="Klostersogn"/>
    <x v="1739"/>
    <x v="0"/>
  </r>
  <r>
    <x v="7"/>
    <x v="76"/>
    <s v="8053"/>
    <s v="Vor Frelsers Sogn"/>
    <x v="1740"/>
    <x v="3"/>
  </r>
  <r>
    <x v="7"/>
    <x v="76"/>
    <s v="8053"/>
    <s v="Vor Frelsers Sogn"/>
    <x v="1741"/>
    <x v="0"/>
  </r>
  <r>
    <x v="7"/>
    <x v="76"/>
    <s v="8053"/>
    <s v="Vor Frelsers Sogn"/>
    <x v="1742"/>
    <x v="0"/>
  </r>
  <r>
    <x v="7"/>
    <x v="76"/>
    <s v="8053"/>
    <s v="Vor Frelsers Sogn"/>
    <x v="1743"/>
    <x v="0"/>
  </r>
  <r>
    <x v="7"/>
    <x v="76"/>
    <s v="8053"/>
    <s v="Vor Frelsers Sogn"/>
    <x v="86"/>
    <x v="0"/>
  </r>
  <r>
    <x v="7"/>
    <x v="76"/>
    <s v="8054"/>
    <s v="Tamdrup Sogn"/>
    <x v="650"/>
    <x v="0"/>
  </r>
  <r>
    <x v="7"/>
    <x v="76"/>
    <s v="8054"/>
    <s v="Tamdrup Sogn"/>
    <x v="1744"/>
    <x v="0"/>
  </r>
  <r>
    <x v="7"/>
    <x v="76"/>
    <s v="8055"/>
    <s v="Nim Sogn"/>
    <x v="1745"/>
    <x v="0"/>
  </r>
  <r>
    <x v="7"/>
    <x v="76"/>
    <s v="8056"/>
    <s v="Underup Sogn"/>
    <x v="1746"/>
    <x v="0"/>
  </r>
  <r>
    <x v="7"/>
    <x v="76"/>
    <s v="8059"/>
    <s v="Endelave Sogn"/>
    <x v="1747"/>
    <x v="0"/>
  </r>
  <r>
    <x v="7"/>
    <x v="76"/>
    <s v="9077"/>
    <s v="Sønderbro Sogn"/>
    <x v="1748"/>
    <x v="0"/>
  </r>
  <r>
    <x v="7"/>
    <x v="77"/>
    <s v="7992"/>
    <s v="Vinding Sogn"/>
    <x v="1517"/>
    <x v="0"/>
  </r>
  <r>
    <x v="7"/>
    <x v="77"/>
    <s v="7993"/>
    <s v="Bryrup Sogn"/>
    <x v="1749"/>
    <x v="0"/>
  </r>
  <r>
    <x v="7"/>
    <x v="77"/>
    <s v="7998"/>
    <s v="Them Sogn"/>
    <x v="1750"/>
    <x v="0"/>
  </r>
  <r>
    <x v="7"/>
    <x v="77"/>
    <s v="7998"/>
    <s v="Them Sogn"/>
    <x v="1614"/>
    <x v="1"/>
  </r>
  <r>
    <x v="7"/>
    <x v="77"/>
    <s v="8007"/>
    <s v="Vrads Sogn"/>
    <x v="1751"/>
    <x v="0"/>
  </r>
  <r>
    <x v="7"/>
    <x v="77"/>
    <s v="8017"/>
    <s v="Silkeborg Sogn"/>
    <x v="1752"/>
    <x v="0"/>
  </r>
  <r>
    <x v="7"/>
    <x v="77"/>
    <s v="8017"/>
    <s v="Silkeborg Sogn"/>
    <x v="1753"/>
    <x v="0"/>
  </r>
  <r>
    <x v="7"/>
    <x v="77"/>
    <s v="8018"/>
    <s v="Mariehøj Sogn"/>
    <x v="1754"/>
    <x v="0"/>
  </r>
  <r>
    <x v="7"/>
    <x v="77"/>
    <s v="8018"/>
    <s v="Mariehøj Sogn"/>
    <x v="1755"/>
    <x v="0"/>
  </r>
  <r>
    <x v="7"/>
    <x v="77"/>
    <s v="8019"/>
    <s v="Alderslyst Sogn"/>
    <x v="1756"/>
    <x v="0"/>
  </r>
  <r>
    <x v="7"/>
    <x v="77"/>
    <s v="8020"/>
    <s v="Linå Sogn"/>
    <x v="1757"/>
    <x v="0"/>
  </r>
  <r>
    <x v="7"/>
    <x v="77"/>
    <s v="8021"/>
    <s v="Voel Sogn"/>
    <x v="1758"/>
    <x v="0"/>
  </r>
  <r>
    <x v="7"/>
    <x v="77"/>
    <s v="8025"/>
    <s v="Skorup Sogn"/>
    <x v="1759"/>
    <x v="0"/>
  </r>
  <r>
    <x v="7"/>
    <x v="77"/>
    <s v="8026"/>
    <s v="Tvilum Sogn"/>
    <x v="1760"/>
    <x v="0"/>
  </r>
  <r>
    <x v="7"/>
    <x v="77"/>
    <s v="8031"/>
    <s v="Dallerup Sogn"/>
    <x v="1761"/>
    <x v="0"/>
  </r>
  <r>
    <x v="7"/>
    <x v="77"/>
    <s v="8496"/>
    <s v="Balle Sogn"/>
    <x v="1762"/>
    <x v="0"/>
  </r>
  <r>
    <x v="7"/>
    <x v="77"/>
    <s v="8496"/>
    <s v="Balle Sogn"/>
    <x v="1763"/>
    <x v="0"/>
  </r>
  <r>
    <x v="7"/>
    <x v="77"/>
    <s v="8604"/>
    <s v="Serup Sogn"/>
    <x v="1764"/>
    <x v="0"/>
  </r>
  <r>
    <x v="7"/>
    <x v="77"/>
    <s v="8605"/>
    <s v="Lemming Sogn"/>
    <x v="1765"/>
    <x v="0"/>
  </r>
  <r>
    <x v="7"/>
    <x v="77"/>
    <s v="8606"/>
    <s v="Gødvad Sogn"/>
    <x v="1766"/>
    <x v="0"/>
  </r>
  <r>
    <x v="7"/>
    <x v="77"/>
    <s v="8606"/>
    <s v="Gødvad Sogn"/>
    <x v="1767"/>
    <x v="0"/>
  </r>
  <r>
    <x v="7"/>
    <x v="77"/>
    <s v="8607"/>
    <s v="Svostrup Sogn"/>
    <x v="1768"/>
    <x v="0"/>
  </r>
  <r>
    <x v="7"/>
    <x v="77"/>
    <s v="8608"/>
    <s v="Sejling Sogn"/>
    <x v="1769"/>
    <x v="0"/>
  </r>
  <r>
    <x v="7"/>
    <x v="77"/>
    <s v="8609"/>
    <s v="Sinding Sogn"/>
    <x v="1536"/>
    <x v="0"/>
  </r>
  <r>
    <x v="7"/>
    <x v="77"/>
    <s v="8610"/>
    <s v="Kragelund Sogn"/>
    <x v="1770"/>
    <x v="0"/>
  </r>
  <r>
    <x v="7"/>
    <x v="77"/>
    <s v="8611"/>
    <s v="Funder Sogn"/>
    <x v="1771"/>
    <x v="0"/>
  </r>
  <r>
    <x v="7"/>
    <x v="77"/>
    <s v="9132"/>
    <s v="Virklund Sogn"/>
    <x v="1772"/>
    <x v="0"/>
  </r>
  <r>
    <x v="7"/>
    <x v="77"/>
    <s v="9143"/>
    <s v="Sejs-Svejbæk Sogn"/>
    <x v="1773"/>
    <x v="0"/>
  </r>
  <r>
    <x v="7"/>
    <x v="77"/>
    <s v="9348"/>
    <s v="Gjern-Skannerup Sogn"/>
    <x v="1774"/>
    <x v="0"/>
  </r>
  <r>
    <x v="7"/>
    <x v="77"/>
    <s v="9348"/>
    <s v="Gjern-Skannerup Sogn"/>
    <x v="1775"/>
    <x v="0"/>
  </r>
  <r>
    <x v="7"/>
    <x v="78"/>
    <s v="8135"/>
    <s v="Haslund Sogn"/>
    <x v="1776"/>
    <x v="0"/>
  </r>
  <r>
    <x v="7"/>
    <x v="78"/>
    <s v="8136"/>
    <s v="Ølst Sogn"/>
    <x v="1777"/>
    <x v="0"/>
  </r>
  <r>
    <x v="7"/>
    <x v="78"/>
    <s v="8137"/>
    <s v="Værum Sogn"/>
    <x v="1778"/>
    <x v="0"/>
  </r>
  <r>
    <x v="7"/>
    <x v="78"/>
    <s v="8138"/>
    <s v="Ørum Sogn"/>
    <x v="1128"/>
    <x v="0"/>
  </r>
  <r>
    <x v="7"/>
    <x v="78"/>
    <s v="8145"/>
    <s v="Årslev Sogn"/>
    <x v="973"/>
    <x v="0"/>
  </r>
  <r>
    <x v="7"/>
    <x v="78"/>
    <s v="8146"/>
    <s v="Vorup Sogn"/>
    <x v="1779"/>
    <x v="0"/>
  </r>
  <r>
    <x v="7"/>
    <x v="78"/>
    <s v="8146"/>
    <s v="Vorup Sogn"/>
    <x v="650"/>
    <x v="0"/>
  </r>
  <r>
    <x v="7"/>
    <x v="78"/>
    <s v="8153"/>
    <s v="Kousted Sogn"/>
    <x v="1780"/>
    <x v="0"/>
  </r>
  <r>
    <x v="7"/>
    <x v="78"/>
    <s v="8154"/>
    <s v="Råsted Sogn"/>
    <x v="1564"/>
    <x v="0"/>
  </r>
  <r>
    <x v="7"/>
    <x v="78"/>
    <s v="8183"/>
    <s v="Sankt Clemens Sogn"/>
    <x v="45"/>
    <x v="0"/>
  </r>
  <r>
    <x v="7"/>
    <x v="78"/>
    <s v="8208"/>
    <s v="Borup Sogn"/>
    <x v="398"/>
    <x v="0"/>
  </r>
  <r>
    <x v="7"/>
    <x v="78"/>
    <s v="8213"/>
    <s v="Kristrup Sogn"/>
    <x v="1781"/>
    <x v="0"/>
  </r>
  <r>
    <x v="7"/>
    <x v="78"/>
    <s v="8213"/>
    <s v="Kristrup Sogn"/>
    <x v="1782"/>
    <x v="2"/>
  </r>
  <r>
    <x v="7"/>
    <x v="78"/>
    <s v="8214"/>
    <s v="Virring Sogn"/>
    <x v="1783"/>
    <x v="0"/>
  </r>
  <r>
    <x v="7"/>
    <x v="78"/>
    <s v="8215"/>
    <s v="Essenbæk Sogn"/>
    <x v="1784"/>
    <x v="0"/>
  </r>
  <r>
    <x v="7"/>
    <x v="78"/>
    <s v="8216"/>
    <s v="Hørning Sogn"/>
    <x v="1691"/>
    <x v="0"/>
  </r>
  <r>
    <x v="7"/>
    <x v="78"/>
    <s v="8513"/>
    <s v="Øster Bjerregrav Sogn"/>
    <x v="1785"/>
    <x v="0"/>
  </r>
  <r>
    <x v="7"/>
    <x v="78"/>
    <s v="8514"/>
    <s v="Ålum Sogn"/>
    <x v="1786"/>
    <x v="0"/>
  </r>
  <r>
    <x v="7"/>
    <x v="78"/>
    <s v="8515"/>
    <s v="Tånum Sogn"/>
    <x v="1787"/>
    <x v="0"/>
  </r>
  <r>
    <x v="7"/>
    <x v="78"/>
    <s v="8516"/>
    <s v="Hornbæk Sogn"/>
    <x v="201"/>
    <x v="0"/>
  </r>
  <r>
    <x v="7"/>
    <x v="78"/>
    <s v="8628"/>
    <s v="Øster Velling Sogn"/>
    <x v="1788"/>
    <x v="0"/>
  </r>
  <r>
    <x v="7"/>
    <x v="78"/>
    <s v="8629"/>
    <s v="Helstrup Sogn"/>
    <x v="1789"/>
    <x v="0"/>
  </r>
  <r>
    <x v="7"/>
    <x v="78"/>
    <s v="8630"/>
    <s v="Grensten Sogn"/>
    <x v="1790"/>
    <x v="0"/>
  </r>
  <r>
    <x v="7"/>
    <x v="78"/>
    <s v="8631"/>
    <s v="Langå Sogn"/>
    <x v="1031"/>
    <x v="0"/>
  </r>
  <r>
    <x v="7"/>
    <x v="78"/>
    <s v="8632"/>
    <s v="Torup Sogn"/>
    <x v="259"/>
    <x v="0"/>
  </r>
  <r>
    <x v="7"/>
    <x v="78"/>
    <s v="9151"/>
    <s v="Enghøj Sogn"/>
    <x v="1791"/>
    <x v="0"/>
  </r>
  <r>
    <x v="7"/>
    <x v="79"/>
    <s v="8149"/>
    <s v="Vester Tørslev Sogn"/>
    <x v="1792"/>
    <x v="0"/>
  </r>
  <r>
    <x v="7"/>
    <x v="79"/>
    <s v="8150"/>
    <s v="Svenstrup Sogn"/>
    <x v="1093"/>
    <x v="0"/>
  </r>
  <r>
    <x v="7"/>
    <x v="79"/>
    <s v="8185"/>
    <s v="Glenstrup Sogn"/>
    <x v="1793"/>
    <x v="0"/>
  </r>
  <r>
    <x v="7"/>
    <x v="79"/>
    <s v="8186"/>
    <s v="Skjellerup Sogn"/>
    <x v="1794"/>
    <x v="0"/>
  </r>
  <r>
    <x v="7"/>
    <x v="79"/>
    <s v="8198"/>
    <s v="Hobro Sogn"/>
    <x v="1795"/>
    <x v="0"/>
  </r>
  <r>
    <x v="7"/>
    <x v="79"/>
    <s v="8198"/>
    <s v="Hobro Sogn"/>
    <x v="1796"/>
    <x v="0"/>
  </r>
  <r>
    <x v="7"/>
    <x v="79"/>
    <s v="8198"/>
    <s v="Hobro Sogn"/>
    <x v="1797"/>
    <x v="0"/>
  </r>
  <r>
    <x v="7"/>
    <x v="79"/>
    <s v="8199"/>
    <s v="Mariager Sogn"/>
    <x v="1798"/>
    <x v="0"/>
  </r>
  <r>
    <x v="7"/>
    <x v="79"/>
    <s v="8202"/>
    <s v="Hem Sogn"/>
    <x v="1474"/>
    <x v="0"/>
  </r>
  <r>
    <x v="7"/>
    <x v="79"/>
    <s v="8203"/>
    <s v="Sem Sogn"/>
    <x v="1799"/>
    <x v="0"/>
  </r>
  <r>
    <x v="7"/>
    <x v="79"/>
    <s v="8204"/>
    <s v="Sønder Onsild Sogn"/>
    <x v="1800"/>
    <x v="0"/>
  </r>
  <r>
    <x v="7"/>
    <x v="79"/>
    <s v="8205"/>
    <s v="Nørre Onsild Sogn"/>
    <x v="1801"/>
    <x v="0"/>
  </r>
  <r>
    <x v="7"/>
    <x v="79"/>
    <s v="8206"/>
    <s v="Hvornum Sogn"/>
    <x v="1802"/>
    <x v="0"/>
  </r>
  <r>
    <x v="7"/>
    <x v="79"/>
    <s v="8207"/>
    <s v="Snæbum Sogn"/>
    <x v="1803"/>
    <x v="0"/>
  </r>
  <r>
    <x v="7"/>
    <x v="79"/>
    <s v="8315"/>
    <s v="Øls Sogn"/>
    <x v="1804"/>
    <x v="0"/>
  </r>
  <r>
    <x v="7"/>
    <x v="79"/>
    <s v="8316"/>
    <s v="Hørby Sogn"/>
    <x v="479"/>
    <x v="0"/>
  </r>
  <r>
    <x v="7"/>
    <x v="79"/>
    <s v="8317"/>
    <s v="Døstrup Sogn"/>
    <x v="1805"/>
    <x v="0"/>
  </r>
  <r>
    <x v="7"/>
    <x v="79"/>
    <s v="8524"/>
    <s v="Hvilsom Sogn"/>
    <x v="1806"/>
    <x v="0"/>
  </r>
  <r>
    <x v="7"/>
    <x v="79"/>
    <s v="9173"/>
    <s v="Falslev-Vindblæs Sogn"/>
    <x v="1807"/>
    <x v="1"/>
  </r>
  <r>
    <x v="7"/>
    <x v="79"/>
    <s v="9173"/>
    <s v="Falslev-Vindblæs Sogn"/>
    <x v="1503"/>
    <x v="0"/>
  </r>
  <r>
    <x v="7"/>
    <x v="79"/>
    <s v="9173"/>
    <s v="Falslev-Vindblæs Sogn"/>
    <x v="1808"/>
    <x v="0"/>
  </r>
  <r>
    <x v="7"/>
    <x v="80"/>
    <s v="8172"/>
    <s v="Hyllested Sogn"/>
    <x v="676"/>
    <x v="0"/>
  </r>
  <r>
    <x v="7"/>
    <x v="80"/>
    <s v="8173"/>
    <s v="Rosmus Sogn"/>
    <x v="1809"/>
    <x v="0"/>
  </r>
  <r>
    <x v="7"/>
    <x v="80"/>
    <s v="8174"/>
    <s v="Tirstrup Sogn"/>
    <x v="1810"/>
    <x v="0"/>
  </r>
  <r>
    <x v="7"/>
    <x v="80"/>
    <s v="8175"/>
    <s v="Fuglslev Sogn"/>
    <x v="1811"/>
    <x v="0"/>
  </r>
  <r>
    <x v="7"/>
    <x v="80"/>
    <s v="8176"/>
    <s v="Feldballe Sogn"/>
    <x v="1812"/>
    <x v="0"/>
  </r>
  <r>
    <x v="7"/>
    <x v="80"/>
    <s v="8177"/>
    <s v="Nødager Sogn"/>
    <x v="1813"/>
    <x v="0"/>
  </r>
  <r>
    <x v="7"/>
    <x v="80"/>
    <s v="8219"/>
    <s v="Marie Magdalene-Pindstrup Sogn"/>
    <x v="1814"/>
    <x v="0"/>
  </r>
  <r>
    <x v="7"/>
    <x v="80"/>
    <s v="8219"/>
    <s v="Marie Magdalene-Pindstrup Sogn"/>
    <x v="1815"/>
    <x v="1"/>
  </r>
  <r>
    <x v="7"/>
    <x v="80"/>
    <s v="8220"/>
    <s v="Koed Sogn"/>
    <x v="1816"/>
    <x v="0"/>
  </r>
  <r>
    <x v="7"/>
    <x v="80"/>
    <s v="8223"/>
    <s v="Hvilsager Sogn"/>
    <x v="1817"/>
    <x v="0"/>
  </r>
  <r>
    <x v="7"/>
    <x v="80"/>
    <s v="8224"/>
    <s v="Lime Sogn"/>
    <x v="1818"/>
    <x v="0"/>
  </r>
  <r>
    <x v="7"/>
    <x v="80"/>
    <s v="8225"/>
    <s v="Mygind Sogn"/>
    <x v="1819"/>
    <x v="0"/>
  </r>
  <r>
    <x v="7"/>
    <x v="80"/>
    <s v="8226"/>
    <s v="Krogsbæk Sogn"/>
    <x v="1820"/>
    <x v="0"/>
  </r>
  <r>
    <x v="7"/>
    <x v="80"/>
    <s v="8227"/>
    <s v="Skørring Sogn"/>
    <x v="1821"/>
    <x v="0"/>
  </r>
  <r>
    <x v="7"/>
    <x v="80"/>
    <s v="8228"/>
    <s v="Søby Sogn"/>
    <x v="859"/>
    <x v="0"/>
  </r>
  <r>
    <x v="7"/>
    <x v="80"/>
    <s v="8229"/>
    <s v="Skader Sogn"/>
    <x v="1822"/>
    <x v="0"/>
  </r>
  <r>
    <x v="7"/>
    <x v="80"/>
    <s v="8230"/>
    <s v="Halling Sogn"/>
    <x v="1684"/>
    <x v="0"/>
  </r>
  <r>
    <x v="7"/>
    <x v="80"/>
    <s v="8242"/>
    <s v="Thorsager Sogn"/>
    <x v="1823"/>
    <x v="0"/>
  </r>
  <r>
    <x v="7"/>
    <x v="80"/>
    <s v="8242"/>
    <s v="Thorsager Sogn"/>
    <x v="1824"/>
    <x v="0"/>
  </r>
  <r>
    <x v="7"/>
    <x v="80"/>
    <s v="8243"/>
    <s v="Bregnet Sogn"/>
    <x v="1825"/>
    <x v="0"/>
  </r>
  <r>
    <x v="7"/>
    <x v="80"/>
    <s v="8244"/>
    <s v="Mørke Sogn"/>
    <x v="1826"/>
    <x v="0"/>
  </r>
  <r>
    <x v="7"/>
    <x v="80"/>
    <s v="8245"/>
    <s v="Hornslet Sogn"/>
    <x v="1827"/>
    <x v="0"/>
  </r>
  <r>
    <x v="7"/>
    <x v="80"/>
    <s v="8245"/>
    <s v="Hornslet Sogn"/>
    <x v="1828"/>
    <x v="0"/>
  </r>
  <r>
    <x v="7"/>
    <x v="80"/>
    <s v="8253"/>
    <s v="Tved Sogn"/>
    <x v="905"/>
    <x v="0"/>
  </r>
  <r>
    <x v="7"/>
    <x v="80"/>
    <s v="8254"/>
    <s v="Agri Sogn"/>
    <x v="1829"/>
    <x v="0"/>
  </r>
  <r>
    <x v="7"/>
    <x v="80"/>
    <s v="8255"/>
    <s v="Egens Sogn"/>
    <x v="1830"/>
    <x v="0"/>
  </r>
  <r>
    <x v="7"/>
    <x v="80"/>
    <s v="8256"/>
    <s v="Knebel Sogn"/>
    <x v="1831"/>
    <x v="0"/>
  </r>
  <r>
    <x v="7"/>
    <x v="80"/>
    <s v="8257"/>
    <s v="Rolsø Sogn"/>
    <x v="1832"/>
    <x v="0"/>
  </r>
  <r>
    <x v="7"/>
    <x v="80"/>
    <s v="8258"/>
    <s v="Vistoft Sogn"/>
    <x v="1833"/>
    <x v="0"/>
  </r>
  <r>
    <x v="7"/>
    <x v="80"/>
    <s v="8259"/>
    <s v="Helgenæs Sogn"/>
    <x v="1834"/>
    <x v="0"/>
  </r>
  <r>
    <x v="7"/>
    <x v="80"/>
    <s v="9171"/>
    <s v="Ebeltoft-Dråby-Handrup Sogn"/>
    <x v="1835"/>
    <x v="0"/>
  </r>
  <r>
    <x v="7"/>
    <x v="80"/>
    <s v="9171"/>
    <s v="Ebeltoft-Dråby-Handrup Sogn"/>
    <x v="1836"/>
    <x v="0"/>
  </r>
  <r>
    <x v="7"/>
    <x v="80"/>
    <s v="9171"/>
    <s v="Ebeltoft-Dråby-Handrup Sogn"/>
    <x v="1837"/>
    <x v="0"/>
  </r>
  <r>
    <x v="7"/>
    <x v="80"/>
    <s v="9193"/>
    <s v="Nimtofte-Tøstrup Sogn"/>
    <x v="1838"/>
    <x v="0"/>
  </r>
  <r>
    <x v="7"/>
    <x v="80"/>
    <s v="9193"/>
    <s v="Nimtofte-Tøstrup Sogn"/>
    <x v="1839"/>
    <x v="0"/>
  </r>
  <r>
    <x v="7"/>
    <x v="80"/>
    <s v="9338"/>
    <s v="Kolind-Ebdrup-Skarresø Sogn"/>
    <x v="1840"/>
    <x v="0"/>
  </r>
  <r>
    <x v="7"/>
    <x v="80"/>
    <s v="9338"/>
    <s v="Kolind-Ebdrup-Skarresø Sogn"/>
    <x v="1841"/>
    <x v="0"/>
  </r>
  <r>
    <x v="7"/>
    <x v="80"/>
    <s v="9338"/>
    <s v="Kolind-Ebdrup-Skarresø Sogn"/>
    <x v="1842"/>
    <x v="0"/>
  </r>
  <r>
    <x v="7"/>
    <x v="81"/>
    <s v="8159"/>
    <s v="Fjellerup Sogn"/>
    <x v="1843"/>
    <x v="0"/>
  </r>
  <r>
    <x v="7"/>
    <x v="81"/>
    <s v="8160"/>
    <s v="Glesborg Sogn"/>
    <x v="1844"/>
    <x v="0"/>
  </r>
  <r>
    <x v="7"/>
    <x v="81"/>
    <s v="8161"/>
    <s v="Ørum Sogn"/>
    <x v="1128"/>
    <x v="0"/>
  </r>
  <r>
    <x v="7"/>
    <x v="81"/>
    <s v="8162"/>
    <s v="Ginnerup Sogn"/>
    <x v="1845"/>
    <x v="0"/>
  </r>
  <r>
    <x v="7"/>
    <x v="81"/>
    <s v="8165"/>
    <s v="Anholt Sogn"/>
    <x v="1846"/>
    <x v="0"/>
  </r>
  <r>
    <x v="7"/>
    <x v="81"/>
    <s v="8166"/>
    <s v="Ålsø Sogn"/>
    <x v="1847"/>
    <x v="0"/>
  </r>
  <r>
    <x v="7"/>
    <x v="81"/>
    <s v="8167"/>
    <s v="Hoed Sogn"/>
    <x v="1848"/>
    <x v="0"/>
  </r>
  <r>
    <x v="7"/>
    <x v="81"/>
    <s v="8168"/>
    <s v="Vejlby Sogn"/>
    <x v="882"/>
    <x v="0"/>
  </r>
  <r>
    <x v="7"/>
    <x v="81"/>
    <s v="8169"/>
    <s v="Homå Sogn"/>
    <x v="1849"/>
    <x v="0"/>
  </r>
  <r>
    <x v="7"/>
    <x v="81"/>
    <s v="8217"/>
    <s v="Fausing Sogn"/>
    <x v="1850"/>
    <x v="0"/>
  </r>
  <r>
    <x v="7"/>
    <x v="81"/>
    <s v="8217"/>
    <s v="Fausing Sogn"/>
    <x v="1851"/>
    <x v="2"/>
  </r>
  <r>
    <x v="7"/>
    <x v="81"/>
    <s v="8218"/>
    <s v="Auning Sogn"/>
    <x v="1852"/>
    <x v="0"/>
  </r>
  <r>
    <x v="7"/>
    <x v="81"/>
    <s v="8221"/>
    <s v="Øster Alling Sogn"/>
    <x v="1853"/>
    <x v="0"/>
  </r>
  <r>
    <x v="7"/>
    <x v="81"/>
    <s v="8222"/>
    <s v="Vester Alling Sogn"/>
    <x v="1854"/>
    <x v="0"/>
  </r>
  <r>
    <x v="7"/>
    <x v="81"/>
    <s v="8231"/>
    <s v="Grenaa Sogn"/>
    <x v="1855"/>
    <x v="0"/>
  </r>
  <r>
    <x v="7"/>
    <x v="81"/>
    <s v="8231"/>
    <s v="Grenaa Sogn"/>
    <x v="1856"/>
    <x v="0"/>
  </r>
  <r>
    <x v="7"/>
    <x v="81"/>
    <s v="8231"/>
    <s v="Grenaa Sogn"/>
    <x v="1857"/>
    <x v="0"/>
  </r>
  <r>
    <x v="7"/>
    <x v="81"/>
    <s v="8231"/>
    <s v="Grenaa Sogn"/>
    <x v="95"/>
    <x v="1"/>
  </r>
  <r>
    <x v="7"/>
    <x v="81"/>
    <s v="8231"/>
    <s v="Grenaa Sogn"/>
    <x v="1858"/>
    <x v="0"/>
  </r>
  <r>
    <x v="7"/>
    <x v="81"/>
    <s v="8232"/>
    <s v="Hammelev Sogn"/>
    <x v="1859"/>
    <x v="0"/>
  </r>
  <r>
    <x v="7"/>
    <x v="81"/>
    <s v="8233"/>
    <s v="Enslev Sogn"/>
    <x v="1860"/>
    <x v="0"/>
  </r>
  <r>
    <x v="7"/>
    <x v="81"/>
    <s v="8234"/>
    <s v="Karlby Sogn"/>
    <x v="1820"/>
    <x v="0"/>
  </r>
  <r>
    <x v="7"/>
    <x v="81"/>
    <s v="8235"/>
    <s v="Voldby Sogn"/>
    <x v="1861"/>
    <x v="0"/>
  </r>
  <r>
    <x v="7"/>
    <x v="81"/>
    <s v="8236"/>
    <s v="Veggerslev Sogn"/>
    <x v="1862"/>
    <x v="0"/>
  </r>
  <r>
    <x v="7"/>
    <x v="81"/>
    <s v="8237"/>
    <s v="Villersø Sogn"/>
    <x v="1863"/>
    <x v="0"/>
  </r>
  <r>
    <x v="7"/>
    <x v="81"/>
    <s v="8238"/>
    <s v="Gjerrild Sogn"/>
    <x v="1864"/>
    <x v="0"/>
  </r>
  <r>
    <x v="7"/>
    <x v="81"/>
    <s v="8238"/>
    <s v="Gjerrild Sogn"/>
    <x v="1865"/>
    <x v="0"/>
  </r>
  <r>
    <x v="7"/>
    <x v="81"/>
    <s v="8239"/>
    <s v="Hemmed Sogn"/>
    <x v="1866"/>
    <x v="0"/>
  </r>
  <r>
    <x v="7"/>
    <x v="81"/>
    <s v="8240"/>
    <s v="Rimsø Sogn"/>
    <x v="1867"/>
    <x v="0"/>
  </r>
  <r>
    <x v="7"/>
    <x v="81"/>
    <s v="8241"/>
    <s v="Kastbjerg Sogn"/>
    <x v="1868"/>
    <x v="0"/>
  </r>
  <r>
    <x v="7"/>
    <x v="81"/>
    <s v="8260"/>
    <s v="Holbæk Sogn"/>
    <x v="1869"/>
    <x v="0"/>
  </r>
  <r>
    <x v="7"/>
    <x v="81"/>
    <s v="8261"/>
    <s v="Udby Sogn"/>
    <x v="478"/>
    <x v="0"/>
  </r>
  <r>
    <x v="7"/>
    <x v="81"/>
    <s v="8262"/>
    <s v="Voer Sogn"/>
    <x v="1126"/>
    <x v="0"/>
  </r>
  <r>
    <x v="7"/>
    <x v="81"/>
    <s v="8263"/>
    <s v="Estruplund Sogn"/>
    <x v="1870"/>
    <x v="0"/>
  </r>
  <r>
    <x v="7"/>
    <x v="81"/>
    <s v="8264"/>
    <s v="Ørsted Sogn"/>
    <x v="376"/>
    <x v="0"/>
  </r>
  <r>
    <x v="7"/>
    <x v="81"/>
    <s v="8265"/>
    <s v="Vivild Sogn"/>
    <x v="1871"/>
    <x v="0"/>
  </r>
  <r>
    <x v="7"/>
    <x v="81"/>
    <s v="8266"/>
    <s v="Vejlby Sogn"/>
    <x v="882"/>
    <x v="0"/>
  </r>
  <r>
    <x v="7"/>
    <x v="81"/>
    <s v="8267"/>
    <s v="Gjesing Sogn"/>
    <x v="1872"/>
    <x v="0"/>
  </r>
  <r>
    <x v="7"/>
    <x v="81"/>
    <s v="8268"/>
    <s v="Nørager Sogn"/>
    <x v="1873"/>
    <x v="0"/>
  </r>
  <r>
    <x v="7"/>
    <x v="81"/>
    <s v="9159"/>
    <s v="Stenvad Sogn"/>
    <x v="1874"/>
    <x v="0"/>
  </r>
  <r>
    <x v="7"/>
    <x v="81"/>
    <s v="9327"/>
    <s v="Lyngby-Albøge Sogn"/>
    <x v="1875"/>
    <x v="1"/>
  </r>
  <r>
    <x v="7"/>
    <x v="81"/>
    <s v="9327"/>
    <s v="Lyngby-Albøge Sogn"/>
    <x v="1876"/>
    <x v="0"/>
  </r>
  <r>
    <x v="7"/>
    <x v="81"/>
    <s v="9327"/>
    <s v="Lyngby-Albøge Sogn"/>
    <x v="299"/>
    <x v="0"/>
  </r>
  <r>
    <x v="7"/>
    <x v="82"/>
    <s v="8022"/>
    <s v="Hammel Sogn"/>
    <x v="1877"/>
    <x v="0"/>
  </r>
  <r>
    <x v="7"/>
    <x v="82"/>
    <s v="8023"/>
    <s v="Voldby Sogn"/>
    <x v="1861"/>
    <x v="0"/>
  </r>
  <r>
    <x v="7"/>
    <x v="82"/>
    <s v="8024"/>
    <s v="Søby Sogn"/>
    <x v="859"/>
    <x v="0"/>
  </r>
  <r>
    <x v="7"/>
    <x v="82"/>
    <s v="8029"/>
    <s v="Røgen Sogn"/>
    <x v="1878"/>
    <x v="0"/>
  </r>
  <r>
    <x v="7"/>
    <x v="82"/>
    <s v="8030"/>
    <s v="Sporup Sogn"/>
    <x v="1879"/>
    <x v="0"/>
  </r>
  <r>
    <x v="7"/>
    <x v="82"/>
    <s v="8060"/>
    <s v="Lyngå Sogn"/>
    <x v="1880"/>
    <x v="0"/>
  </r>
  <r>
    <x v="7"/>
    <x v="82"/>
    <s v="8061"/>
    <s v="Vitten Sogn"/>
    <x v="1881"/>
    <x v="0"/>
  </r>
  <r>
    <x v="7"/>
    <x v="82"/>
    <s v="8062"/>
    <s v="Haldum Sogn"/>
    <x v="1882"/>
    <x v="0"/>
  </r>
  <r>
    <x v="7"/>
    <x v="82"/>
    <s v="8062"/>
    <s v="Haldum Sogn"/>
    <x v="1883"/>
    <x v="0"/>
  </r>
  <r>
    <x v="7"/>
    <x v="82"/>
    <s v="8064"/>
    <s v="Lading Sogn"/>
    <x v="1884"/>
    <x v="0"/>
  </r>
  <r>
    <x v="7"/>
    <x v="82"/>
    <s v="8067"/>
    <s v="Grundfør Sogn"/>
    <x v="1885"/>
    <x v="0"/>
  </r>
  <r>
    <x v="7"/>
    <x v="82"/>
    <s v="8067"/>
    <s v="Grundfør Sogn"/>
    <x v="1886"/>
    <x v="0"/>
  </r>
  <r>
    <x v="7"/>
    <x v="82"/>
    <s v="8069"/>
    <s v="Søften Sogn"/>
    <x v="1887"/>
    <x v="0"/>
  </r>
  <r>
    <x v="7"/>
    <x v="82"/>
    <s v="8069"/>
    <s v="Søften Sogn"/>
    <x v="1888"/>
    <x v="0"/>
  </r>
  <r>
    <x v="7"/>
    <x v="82"/>
    <s v="8070"/>
    <s v="Foldby Sogn"/>
    <x v="1889"/>
    <x v="0"/>
  </r>
  <r>
    <x v="7"/>
    <x v="82"/>
    <s v="8139"/>
    <s v="Laurbjerg Sogn"/>
    <x v="1890"/>
    <x v="0"/>
  </r>
  <r>
    <x v="7"/>
    <x v="82"/>
    <s v="8140"/>
    <s v="Lerbjerg Sogn"/>
    <x v="1891"/>
    <x v="0"/>
  </r>
  <r>
    <x v="7"/>
    <x v="82"/>
    <s v="8142"/>
    <s v="Vissing Sogn"/>
    <x v="1892"/>
    <x v="0"/>
  </r>
  <r>
    <x v="7"/>
    <x v="82"/>
    <s v="8143"/>
    <s v="Voldum Sogn"/>
    <x v="1893"/>
    <x v="2"/>
  </r>
  <r>
    <x v="7"/>
    <x v="82"/>
    <s v="8143"/>
    <s v="Voldum Sogn"/>
    <x v="1894"/>
    <x v="0"/>
  </r>
  <r>
    <x v="7"/>
    <x v="82"/>
    <s v="8144"/>
    <s v="Rud Sogn"/>
    <x v="1895"/>
    <x v="0"/>
  </r>
  <r>
    <x v="7"/>
    <x v="82"/>
    <s v="8147"/>
    <s v="Ødum Sogn"/>
    <x v="1896"/>
    <x v="0"/>
  </r>
  <r>
    <x v="7"/>
    <x v="82"/>
    <s v="8148"/>
    <s v="Hadbjerg Sogn"/>
    <x v="1897"/>
    <x v="2"/>
  </r>
  <r>
    <x v="7"/>
    <x v="82"/>
    <s v="8148"/>
    <s v="Hadbjerg Sogn"/>
    <x v="1898"/>
    <x v="0"/>
  </r>
  <r>
    <x v="7"/>
    <x v="82"/>
    <s v="8486"/>
    <s v="Hvorslev Sogn"/>
    <x v="1899"/>
    <x v="0"/>
  </r>
  <r>
    <x v="7"/>
    <x v="82"/>
    <s v="8487"/>
    <s v="Gerning Sogn"/>
    <x v="1900"/>
    <x v="0"/>
  </r>
  <r>
    <x v="7"/>
    <x v="82"/>
    <s v="8488"/>
    <s v="Vellev Sogn"/>
    <x v="1901"/>
    <x v="0"/>
  </r>
  <r>
    <x v="7"/>
    <x v="82"/>
    <s v="8489"/>
    <s v="Vejerslev Sogn"/>
    <x v="1296"/>
    <x v="0"/>
  </r>
  <r>
    <x v="7"/>
    <x v="82"/>
    <s v="8490"/>
    <s v="Aidt Sogn"/>
    <x v="1902"/>
    <x v="0"/>
  </r>
  <r>
    <x v="7"/>
    <x v="82"/>
    <s v="8491"/>
    <s v="Thorsø Sogn"/>
    <x v="1903"/>
    <x v="0"/>
  </r>
  <r>
    <x v="7"/>
    <x v="82"/>
    <s v="8492"/>
    <s v="Houlbjerg Sogn"/>
    <x v="1904"/>
    <x v="0"/>
  </r>
  <r>
    <x v="7"/>
    <x v="82"/>
    <s v="8493"/>
    <s v="Granslev Sogn"/>
    <x v="1905"/>
    <x v="0"/>
  </r>
  <r>
    <x v="7"/>
    <x v="82"/>
    <s v="8494"/>
    <s v="Haurum Sogn"/>
    <x v="1906"/>
    <x v="0"/>
  </r>
  <r>
    <x v="7"/>
    <x v="82"/>
    <s v="8495"/>
    <s v="Sall Sogn"/>
    <x v="1907"/>
    <x v="0"/>
  </r>
  <r>
    <x v="7"/>
    <x v="82"/>
    <s v="8537"/>
    <s v="Skjød Sogn"/>
    <x v="1908"/>
    <x v="0"/>
  </r>
  <r>
    <x v="7"/>
    <x v="82"/>
    <s v="8626"/>
    <s v="Vester Velling Sogn"/>
    <x v="1909"/>
    <x v="0"/>
  </r>
  <r>
    <x v="7"/>
    <x v="82"/>
    <s v="8633"/>
    <s v="Sønder Vinge Sogn"/>
    <x v="1910"/>
    <x v="0"/>
  </r>
  <r>
    <x v="7"/>
    <x v="82"/>
    <s v="9102"/>
    <s v="Ulstrupbro Sogn"/>
    <x v="1911"/>
    <x v="0"/>
  </r>
  <r>
    <x v="7"/>
    <x v="82"/>
    <s v="9316"/>
    <s v="Hadsten Sogn"/>
    <x v="136"/>
    <x v="0"/>
  </r>
  <r>
    <x v="7"/>
    <x v="82"/>
    <s v="9316"/>
    <s v="Hadsten Sogn"/>
    <x v="1912"/>
    <x v="0"/>
  </r>
  <r>
    <x v="7"/>
    <x v="82"/>
    <s v="9316"/>
    <s v="Hadsten Sogn"/>
    <x v="1913"/>
    <x v="0"/>
  </r>
  <r>
    <x v="7"/>
    <x v="83"/>
    <s v="8068"/>
    <s v="Spørring Sogn"/>
    <x v="1914"/>
    <x v="0"/>
  </r>
  <r>
    <x v="7"/>
    <x v="83"/>
    <s v="8071"/>
    <s v="Trige Sogn"/>
    <x v="1915"/>
    <x v="0"/>
  </r>
  <r>
    <x v="7"/>
    <x v="83"/>
    <s v="8072"/>
    <s v="Ølsted Sogn"/>
    <x v="257"/>
    <x v="0"/>
  </r>
  <r>
    <x v="7"/>
    <x v="83"/>
    <s v="8073"/>
    <s v="Elsted Sogn"/>
    <x v="1916"/>
    <x v="0"/>
  </r>
  <r>
    <x v="7"/>
    <x v="83"/>
    <s v="8074"/>
    <s v="Elev Sogn"/>
    <x v="1917"/>
    <x v="0"/>
  </r>
  <r>
    <x v="7"/>
    <x v="83"/>
    <s v="8074"/>
    <s v="Elev Sogn"/>
    <x v="1918"/>
    <x v="0"/>
  </r>
  <r>
    <x v="7"/>
    <x v="83"/>
    <s v="8123"/>
    <s v="Vejlby Sogn"/>
    <x v="882"/>
    <x v="0"/>
  </r>
  <r>
    <x v="7"/>
    <x v="83"/>
    <s v="8124"/>
    <s v="Risskov Sogn"/>
    <x v="1919"/>
    <x v="0"/>
  </r>
  <r>
    <x v="7"/>
    <x v="83"/>
    <s v="8124"/>
    <s v="Risskov Sogn"/>
    <x v="1920"/>
    <x v="0"/>
  </r>
  <r>
    <x v="7"/>
    <x v="83"/>
    <s v="8246"/>
    <s v="Skødstrup Sogn"/>
    <x v="1921"/>
    <x v="0"/>
  </r>
  <r>
    <x v="7"/>
    <x v="83"/>
    <s v="8247"/>
    <s v="Todbjerg Sogn"/>
    <x v="1922"/>
    <x v="0"/>
  </r>
  <r>
    <x v="7"/>
    <x v="83"/>
    <s v="8248"/>
    <s v="Mejlby Sogn"/>
    <x v="1923"/>
    <x v="0"/>
  </r>
  <r>
    <x v="7"/>
    <x v="83"/>
    <s v="8249"/>
    <s v="Hjortshøj Sogn"/>
    <x v="1924"/>
    <x v="0"/>
  </r>
  <r>
    <x v="7"/>
    <x v="83"/>
    <s v="8250"/>
    <s v="Egå Sogn"/>
    <x v="1925"/>
    <x v="0"/>
  </r>
  <r>
    <x v="7"/>
    <x v="83"/>
    <s v="9088"/>
    <s v="Ellevang Sogn"/>
    <x v="1926"/>
    <x v="0"/>
  </r>
  <r>
    <x v="7"/>
    <x v="83"/>
    <s v="9146"/>
    <s v="Lystrup Sogn"/>
    <x v="1927"/>
    <x v="0"/>
  </r>
  <r>
    <x v="7"/>
    <x v="83"/>
    <s v="9147"/>
    <s v="Skelager Sogn"/>
    <x v="1928"/>
    <x v="0"/>
  </r>
  <r>
    <x v="7"/>
    <x v="83"/>
    <s v="9158"/>
    <s v="Skæring Sogn"/>
    <x v="1929"/>
    <x v="0"/>
  </r>
  <r>
    <x v="7"/>
    <x v="83"/>
    <s v="9337"/>
    <s v="Skejby-Lisbjerg Sogn"/>
    <x v="1930"/>
    <x v="0"/>
  </r>
  <r>
    <x v="7"/>
    <x v="83"/>
    <s v="9337"/>
    <s v="Skejby-Lisbjerg Sogn"/>
    <x v="1931"/>
    <x v="0"/>
  </r>
  <r>
    <x v="7"/>
    <x v="83"/>
    <s v="9337"/>
    <s v="Skejby-Lisbjerg Sogn"/>
    <x v="1932"/>
    <x v="0"/>
  </r>
  <r>
    <x v="7"/>
    <x v="84"/>
    <s v="8036"/>
    <s v="Vitved Sogn"/>
    <x v="1933"/>
    <x v="0"/>
  </r>
  <r>
    <x v="7"/>
    <x v="84"/>
    <s v="8100"/>
    <s v="Viby Sogn"/>
    <x v="1041"/>
    <x v="0"/>
  </r>
  <r>
    <x v="7"/>
    <x v="84"/>
    <s v="8101"/>
    <s v="Fredens Sogn"/>
    <x v="1934"/>
    <x v="0"/>
  </r>
  <r>
    <x v="7"/>
    <x v="84"/>
    <s v="8102"/>
    <s v="Holme Sogn"/>
    <x v="1935"/>
    <x v="0"/>
  </r>
  <r>
    <x v="7"/>
    <x v="84"/>
    <s v="8102"/>
    <s v="Holme Sogn"/>
    <x v="1936"/>
    <x v="0"/>
  </r>
  <r>
    <x v="7"/>
    <x v="84"/>
    <s v="8102"/>
    <s v="Holme Sogn"/>
    <x v="1937"/>
    <x v="0"/>
  </r>
  <r>
    <x v="7"/>
    <x v="84"/>
    <s v="8103"/>
    <s v="Tranbjerg Sogn"/>
    <x v="1938"/>
    <x v="0"/>
  </r>
  <r>
    <x v="7"/>
    <x v="84"/>
    <s v="8104"/>
    <s v="Skåde Sogn"/>
    <x v="1939"/>
    <x v="0"/>
  </r>
  <r>
    <x v="7"/>
    <x v="84"/>
    <s v="8105"/>
    <s v="Mårslet Sogn"/>
    <x v="1940"/>
    <x v="2"/>
  </r>
  <r>
    <x v="7"/>
    <x v="84"/>
    <s v="8105"/>
    <s v="Mårslet Sogn"/>
    <x v="1941"/>
    <x v="0"/>
  </r>
  <r>
    <x v="7"/>
    <x v="84"/>
    <s v="8106"/>
    <s v="Tiset Sogn"/>
    <x v="1942"/>
    <x v="0"/>
  </r>
  <r>
    <x v="7"/>
    <x v="84"/>
    <s v="8107"/>
    <s v="Ormslev Sogn"/>
    <x v="1943"/>
    <x v="0"/>
  </r>
  <r>
    <x v="7"/>
    <x v="84"/>
    <s v="8108"/>
    <s v="Kolt Sogn"/>
    <x v="1944"/>
    <x v="0"/>
  </r>
  <r>
    <x v="7"/>
    <x v="84"/>
    <s v="8108"/>
    <s v="Kolt Sogn"/>
    <x v="1945"/>
    <x v="2"/>
  </r>
  <r>
    <x v="7"/>
    <x v="84"/>
    <s v="8109"/>
    <s v="Beder Sogn"/>
    <x v="1946"/>
    <x v="0"/>
  </r>
  <r>
    <x v="7"/>
    <x v="84"/>
    <s v="8110"/>
    <s v="Malling Sogn"/>
    <x v="1947"/>
    <x v="0"/>
  </r>
  <r>
    <x v="7"/>
    <x v="84"/>
    <s v="8111"/>
    <s v="Astrup Sogn"/>
    <x v="1107"/>
    <x v="0"/>
  </r>
  <r>
    <x v="7"/>
    <x v="84"/>
    <s v="8112"/>
    <s v="Tulstrup Sogn"/>
    <x v="1698"/>
    <x v="0"/>
  </r>
  <r>
    <x v="7"/>
    <x v="84"/>
    <s v="8113"/>
    <s v="Hvilsted Sogn"/>
    <x v="1948"/>
    <x v="0"/>
  </r>
  <r>
    <x v="7"/>
    <x v="84"/>
    <s v="9096"/>
    <s v="Ravnsbjerg Sogn"/>
    <x v="1949"/>
    <x v="0"/>
  </r>
  <r>
    <x v="7"/>
    <x v="85"/>
    <s v="8133"/>
    <s v="Støvring Sogn"/>
    <x v="1950"/>
    <x v="0"/>
  </r>
  <r>
    <x v="7"/>
    <x v="85"/>
    <s v="8133"/>
    <s v="Støvring Sogn"/>
    <x v="1951"/>
    <x v="1"/>
  </r>
  <r>
    <x v="7"/>
    <x v="85"/>
    <s v="8133"/>
    <s v="Støvring Sogn"/>
    <x v="1362"/>
    <x v="0"/>
  </r>
  <r>
    <x v="7"/>
    <x v="85"/>
    <s v="8134"/>
    <s v="Mellerup Sogn"/>
    <x v="1952"/>
    <x v="2"/>
  </r>
  <r>
    <x v="7"/>
    <x v="85"/>
    <s v="8134"/>
    <s v="Mellerup Sogn"/>
    <x v="1953"/>
    <x v="0"/>
  </r>
  <r>
    <x v="7"/>
    <x v="85"/>
    <s v="8151"/>
    <s v="Asferg Sogn"/>
    <x v="1954"/>
    <x v="0"/>
  </r>
  <r>
    <x v="7"/>
    <x v="85"/>
    <s v="8152"/>
    <s v="Fårup Sogn"/>
    <x v="1955"/>
    <x v="0"/>
  </r>
  <r>
    <x v="7"/>
    <x v="85"/>
    <s v="8155"/>
    <s v="Spentrup Sogn"/>
    <x v="1956"/>
    <x v="0"/>
  </r>
  <r>
    <x v="7"/>
    <x v="85"/>
    <s v="8156"/>
    <s v="Gassum Sogn"/>
    <x v="1957"/>
    <x v="0"/>
  </r>
  <r>
    <x v="7"/>
    <x v="85"/>
    <s v="8157"/>
    <s v="Hald Sogn"/>
    <x v="1958"/>
    <x v="0"/>
  </r>
  <r>
    <x v="7"/>
    <x v="85"/>
    <s v="8158"/>
    <s v="Kærby Sogn"/>
    <x v="1959"/>
    <x v="0"/>
  </r>
  <r>
    <x v="7"/>
    <x v="85"/>
    <s v="8181"/>
    <s v="Sankt Mortens Sogn"/>
    <x v="1960"/>
    <x v="1"/>
  </r>
  <r>
    <x v="7"/>
    <x v="85"/>
    <s v="8181"/>
    <s v="Sankt Mortens Sogn"/>
    <x v="609"/>
    <x v="0"/>
  </r>
  <r>
    <x v="7"/>
    <x v="85"/>
    <s v="8181"/>
    <s v="Sankt Mortens Sogn"/>
    <x v="1961"/>
    <x v="0"/>
  </r>
  <r>
    <x v="7"/>
    <x v="85"/>
    <s v="8182"/>
    <s v="Sankt Peders Sogn"/>
    <x v="1962"/>
    <x v="0"/>
  </r>
  <r>
    <x v="7"/>
    <x v="85"/>
    <s v="8182"/>
    <s v="Sankt Peders Sogn"/>
    <x v="58"/>
    <x v="0"/>
  </r>
  <r>
    <x v="7"/>
    <x v="85"/>
    <s v="8184"/>
    <s v="Dronningborg Sogn"/>
    <x v="1963"/>
    <x v="0"/>
  </r>
  <r>
    <x v="7"/>
    <x v="85"/>
    <s v="8187"/>
    <s v="Tvede Sogn"/>
    <x v="1964"/>
    <x v="0"/>
  </r>
  <r>
    <x v="7"/>
    <x v="85"/>
    <s v="8188"/>
    <s v="Linde Sogn"/>
    <x v="1965"/>
    <x v="0"/>
  </r>
  <r>
    <x v="7"/>
    <x v="85"/>
    <s v="8189"/>
    <s v="Udbyneder Sogn"/>
    <x v="1966"/>
    <x v="1"/>
  </r>
  <r>
    <x v="7"/>
    <x v="85"/>
    <s v="8189"/>
    <s v="Udbyneder Sogn"/>
    <x v="1967"/>
    <x v="0"/>
  </r>
  <r>
    <x v="7"/>
    <x v="85"/>
    <s v="8190"/>
    <s v="Kastbjerg Sogn"/>
    <x v="1868"/>
    <x v="0"/>
  </r>
  <r>
    <x v="7"/>
    <x v="85"/>
    <s v="8191"/>
    <s v="Dalbyneder Sogn"/>
    <x v="1968"/>
    <x v="0"/>
  </r>
  <r>
    <x v="7"/>
    <x v="85"/>
    <s v="8192"/>
    <s v="Dalbyover Sogn"/>
    <x v="1969"/>
    <x v="0"/>
  </r>
  <r>
    <x v="7"/>
    <x v="85"/>
    <s v="8193"/>
    <s v="Råby Sogn"/>
    <x v="1970"/>
    <x v="0"/>
  </r>
  <r>
    <x v="7"/>
    <x v="85"/>
    <s v="8194"/>
    <s v="Sødring Sogn"/>
    <x v="1971"/>
    <x v="0"/>
  </r>
  <r>
    <x v="7"/>
    <x v="85"/>
    <s v="8195"/>
    <s v="Øster Tørslev Sogn"/>
    <x v="1972"/>
    <x v="0"/>
  </r>
  <r>
    <x v="7"/>
    <x v="85"/>
    <s v="8196"/>
    <s v="Gjerlev Sogn"/>
    <x v="1973"/>
    <x v="0"/>
  </r>
  <r>
    <x v="7"/>
    <x v="85"/>
    <s v="8197"/>
    <s v="Enslev Sogn"/>
    <x v="1860"/>
    <x v="0"/>
  </r>
  <r>
    <x v="7"/>
    <x v="85"/>
    <s v="8209"/>
    <s v="Gimming Sogn"/>
    <x v="1974"/>
    <x v="0"/>
  </r>
  <r>
    <x v="7"/>
    <x v="85"/>
    <s v="8210"/>
    <s v="Lem Sogn"/>
    <x v="1451"/>
    <x v="0"/>
  </r>
  <r>
    <x v="7"/>
    <x v="85"/>
    <s v="8211"/>
    <s v="Harridslev Sogn"/>
    <x v="1975"/>
    <x v="0"/>
  </r>
  <r>
    <x v="7"/>
    <x v="85"/>
    <s v="8212"/>
    <s v="Albæk Sogn"/>
    <x v="1173"/>
    <x v="0"/>
  </r>
  <r>
    <x v="7"/>
    <x v="85"/>
    <s v="8510"/>
    <s v="Nørbæk Sogn"/>
    <x v="1976"/>
    <x v="0"/>
  </r>
  <r>
    <x v="7"/>
    <x v="85"/>
    <s v="8511"/>
    <s v="Sønderbæk Sogn"/>
    <x v="1977"/>
    <x v="0"/>
  </r>
  <r>
    <x v="7"/>
    <x v="85"/>
    <s v="8512"/>
    <s v="Læsten Sogn"/>
    <x v="1978"/>
    <x v="0"/>
  </r>
  <r>
    <x v="7"/>
    <x v="85"/>
    <s v="9078"/>
    <s v="Sankt Andreas Sogn"/>
    <x v="119"/>
    <x v="0"/>
  </r>
  <r>
    <x v="7"/>
    <x v="85"/>
    <s v="9078"/>
    <s v="Sankt Andreas Sogn"/>
    <x v="1979"/>
    <x v="0"/>
  </r>
  <r>
    <x v="7"/>
    <x v="86"/>
    <s v="8065"/>
    <s v="Fårup Sogn"/>
    <x v="1955"/>
    <x v="0"/>
  </r>
  <r>
    <x v="7"/>
    <x v="86"/>
    <s v="8066"/>
    <s v="Sabro Sogn"/>
    <x v="1980"/>
    <x v="0"/>
  </r>
  <r>
    <x v="7"/>
    <x v="86"/>
    <s v="8079"/>
    <s v="Borum Sogn"/>
    <x v="1981"/>
    <x v="0"/>
  </r>
  <r>
    <x v="7"/>
    <x v="86"/>
    <s v="8080"/>
    <s v="Lyngby Sogn"/>
    <x v="299"/>
    <x v="0"/>
  </r>
  <r>
    <x v="7"/>
    <x v="86"/>
    <s v="8081"/>
    <s v="Harlev Sogn"/>
    <x v="1982"/>
    <x v="0"/>
  </r>
  <r>
    <x v="7"/>
    <x v="86"/>
    <s v="8082"/>
    <s v="Framlev Sogn"/>
    <x v="1983"/>
    <x v="0"/>
  </r>
  <r>
    <x v="7"/>
    <x v="86"/>
    <s v="8117"/>
    <s v="Møllevang Sogn"/>
    <x v="1984"/>
    <x v="0"/>
  </r>
  <r>
    <x v="7"/>
    <x v="86"/>
    <s v="8117"/>
    <s v="Møllevang Sogn"/>
    <x v="1985"/>
    <x v="0"/>
  </r>
  <r>
    <x v="7"/>
    <x v="86"/>
    <s v="8117"/>
    <s v="Møllevang Sogn"/>
    <x v="1986"/>
    <x v="0"/>
  </r>
  <r>
    <x v="7"/>
    <x v="86"/>
    <s v="8122"/>
    <s v="Åby Sogn"/>
    <x v="1987"/>
    <x v="0"/>
  </r>
  <r>
    <x v="7"/>
    <x v="86"/>
    <s v="8122"/>
    <s v="Åby Sogn"/>
    <x v="1988"/>
    <x v="0"/>
  </r>
  <r>
    <x v="7"/>
    <x v="86"/>
    <s v="8122"/>
    <s v="Åby Sogn"/>
    <x v="1989"/>
    <x v="0"/>
  </r>
  <r>
    <x v="7"/>
    <x v="86"/>
    <s v="8125"/>
    <s v="Hasle Sogn"/>
    <x v="37"/>
    <x v="0"/>
  </r>
  <r>
    <x v="7"/>
    <x v="86"/>
    <s v="8128"/>
    <s v="Brabrand Sogn"/>
    <x v="1990"/>
    <x v="0"/>
  </r>
  <r>
    <x v="7"/>
    <x v="86"/>
    <s v="8128"/>
    <s v="Brabrand Sogn"/>
    <x v="1991"/>
    <x v="0"/>
  </r>
  <r>
    <x v="7"/>
    <x v="86"/>
    <s v="8129"/>
    <s v="Sønder Årslev Sogn"/>
    <x v="1992"/>
    <x v="0"/>
  </r>
  <r>
    <x v="7"/>
    <x v="86"/>
    <s v="8130"/>
    <s v="Tilst Sogn"/>
    <x v="1993"/>
    <x v="0"/>
  </r>
  <r>
    <x v="7"/>
    <x v="86"/>
    <s v="8131"/>
    <s v="Kasted Sogn"/>
    <x v="1994"/>
    <x v="0"/>
  </r>
  <r>
    <x v="7"/>
    <x v="86"/>
    <s v="9090"/>
    <s v="Helligånds Sogn"/>
    <x v="110"/>
    <x v="0"/>
  </r>
  <r>
    <x v="7"/>
    <x v="86"/>
    <s v="9097"/>
    <s v="Gellerup Sogn"/>
    <x v="1995"/>
    <x v="0"/>
  </r>
  <r>
    <x v="7"/>
    <x v="86"/>
    <s v="9135"/>
    <s v="Skjoldhøj Sogn"/>
    <x v="1996"/>
    <x v="0"/>
  </r>
  <r>
    <x v="8"/>
    <x v="87"/>
    <s v="8886"/>
    <s v="Ribe Domsogn"/>
    <x v="1997"/>
    <x v="0"/>
  </r>
  <r>
    <x v="8"/>
    <x v="87"/>
    <s v="8887"/>
    <s v="Seem Sogn"/>
    <x v="1998"/>
    <x v="0"/>
  </r>
  <r>
    <x v="8"/>
    <x v="87"/>
    <s v="8888"/>
    <s v="Sankt Katharine Sogn"/>
    <x v="1999"/>
    <x v="0"/>
  </r>
  <r>
    <x v="8"/>
    <x v="87"/>
    <s v="8888"/>
    <s v="Sankt Katharine Sogn"/>
    <x v="2000"/>
    <x v="0"/>
  </r>
  <r>
    <x v="8"/>
    <x v="87"/>
    <s v="8889"/>
    <s v="Obbekær Sogn"/>
    <x v="2001"/>
    <x v="0"/>
  </r>
  <r>
    <x v="8"/>
    <x v="87"/>
    <s v="8890"/>
    <s v="Hjortlund Sogn"/>
    <x v="2002"/>
    <x v="0"/>
  </r>
  <r>
    <x v="8"/>
    <x v="87"/>
    <s v="8891"/>
    <s v="Kalvslund Sogn"/>
    <x v="2003"/>
    <x v="0"/>
  </r>
  <r>
    <x v="8"/>
    <x v="87"/>
    <s v="8892"/>
    <s v="Vester Vedsted Sogn"/>
    <x v="2004"/>
    <x v="0"/>
  </r>
  <r>
    <x v="8"/>
    <x v="87"/>
    <s v="8893"/>
    <s v="Farup Sogn"/>
    <x v="453"/>
    <x v="0"/>
  </r>
  <r>
    <x v="8"/>
    <x v="87"/>
    <s v="8894"/>
    <s v="Mandø Sogn"/>
    <x v="2005"/>
    <x v="0"/>
  </r>
  <r>
    <x v="8"/>
    <x v="87"/>
    <s v="8895"/>
    <s v="Gørding Sogn"/>
    <x v="2006"/>
    <x v="0"/>
  </r>
  <r>
    <x v="8"/>
    <x v="87"/>
    <s v="8896"/>
    <s v="Vejrup Sogn"/>
    <x v="2007"/>
    <x v="0"/>
  </r>
  <r>
    <x v="8"/>
    <x v="87"/>
    <s v="8899"/>
    <s v="Darum Sogn"/>
    <x v="2008"/>
    <x v="0"/>
  </r>
  <r>
    <x v="8"/>
    <x v="87"/>
    <s v="8900"/>
    <s v="Bramming Sogn"/>
    <x v="33"/>
    <x v="0"/>
  </r>
  <r>
    <x v="8"/>
    <x v="87"/>
    <s v="8900"/>
    <s v="Bramming Sogn"/>
    <x v="2009"/>
    <x v="0"/>
  </r>
  <r>
    <x v="8"/>
    <x v="87"/>
    <s v="8900"/>
    <s v="Bramming Sogn"/>
    <x v="2010"/>
    <x v="0"/>
  </r>
  <r>
    <x v="8"/>
    <x v="87"/>
    <s v="8901"/>
    <s v="Vilslev Sogn"/>
    <x v="2011"/>
    <x v="0"/>
  </r>
  <r>
    <x v="8"/>
    <x v="87"/>
    <s v="8902"/>
    <s v="Hunderup Sogn"/>
    <x v="2012"/>
    <x v="0"/>
  </r>
  <r>
    <x v="8"/>
    <x v="87"/>
    <s v="8903"/>
    <s v="Jernved Sogn"/>
    <x v="2013"/>
    <x v="0"/>
  </r>
  <r>
    <x v="8"/>
    <x v="87"/>
    <s v="8903"/>
    <s v="Jernved Sogn"/>
    <x v="2014"/>
    <x v="1"/>
  </r>
  <r>
    <x v="8"/>
    <x v="87"/>
    <s v="8913"/>
    <s v="Vester Nykirke Sogn"/>
    <x v="2015"/>
    <x v="0"/>
  </r>
  <r>
    <x v="8"/>
    <x v="87"/>
    <s v="9030"/>
    <s v="Hviding Sogn"/>
    <x v="2016"/>
    <x v="0"/>
  </r>
  <r>
    <x v="8"/>
    <x v="87"/>
    <s v="9034"/>
    <s v="Roager Sogn"/>
    <x v="2017"/>
    <x v="0"/>
  </r>
  <r>
    <x v="8"/>
    <x v="87"/>
    <s v="9035"/>
    <s v="Spandet Sogn"/>
    <x v="2018"/>
    <x v="0"/>
  </r>
  <r>
    <x v="8"/>
    <x v="88"/>
    <s v="8897"/>
    <s v="Åstrup Sogn"/>
    <x v="928"/>
    <x v="0"/>
  </r>
  <r>
    <x v="8"/>
    <x v="88"/>
    <s v="8925"/>
    <s v="Lindknud Sogn"/>
    <x v="2019"/>
    <x v="0"/>
  </r>
  <r>
    <x v="8"/>
    <x v="88"/>
    <s v="8926"/>
    <s v="Brørup Sogn"/>
    <x v="2020"/>
    <x v="0"/>
  </r>
  <r>
    <x v="8"/>
    <x v="88"/>
    <s v="8926"/>
    <s v="Brørup Sogn"/>
    <x v="2021"/>
    <x v="0"/>
  </r>
  <r>
    <x v="8"/>
    <x v="88"/>
    <s v="8926"/>
    <s v="Brørup Sogn"/>
    <x v="650"/>
    <x v="0"/>
  </r>
  <r>
    <x v="8"/>
    <x v="88"/>
    <s v="8928"/>
    <s v="Føvling Sogn"/>
    <x v="1725"/>
    <x v="0"/>
  </r>
  <r>
    <x v="8"/>
    <x v="88"/>
    <s v="8929"/>
    <s v="Malt Sogn"/>
    <x v="2022"/>
    <x v="0"/>
  </r>
  <r>
    <x v="8"/>
    <x v="88"/>
    <s v="8930"/>
    <s v="Folding Sogn"/>
    <x v="2023"/>
    <x v="0"/>
  </r>
  <r>
    <x v="8"/>
    <x v="88"/>
    <s v="8931"/>
    <s v="Vejen Sogn"/>
    <x v="2024"/>
    <x v="0"/>
  </r>
  <r>
    <x v="8"/>
    <x v="88"/>
    <s v="8931"/>
    <s v="Vejen Sogn"/>
    <x v="2025"/>
    <x v="0"/>
  </r>
  <r>
    <x v="8"/>
    <x v="88"/>
    <s v="8932"/>
    <s v="Læborg Sogn"/>
    <x v="2026"/>
    <x v="0"/>
  </r>
  <r>
    <x v="8"/>
    <x v="88"/>
    <s v="8933"/>
    <s v="Veerst Sogn"/>
    <x v="2027"/>
    <x v="0"/>
  </r>
  <r>
    <x v="8"/>
    <x v="88"/>
    <s v="8934"/>
    <s v="Bække Sogn"/>
    <x v="2028"/>
    <x v="0"/>
  </r>
  <r>
    <x v="8"/>
    <x v="88"/>
    <s v="8937"/>
    <s v="Andst Sogn"/>
    <x v="2029"/>
    <x v="0"/>
  </r>
  <r>
    <x v="8"/>
    <x v="88"/>
    <s v="8938"/>
    <s v="Gesten Sogn"/>
    <x v="2030"/>
    <x v="0"/>
  </r>
  <r>
    <x v="8"/>
    <x v="88"/>
    <s v="8947"/>
    <s v="Lintrup Sogn"/>
    <x v="2031"/>
    <x v="0"/>
  </r>
  <r>
    <x v="8"/>
    <x v="88"/>
    <s v="8948"/>
    <s v="Hjerting Sogn"/>
    <x v="2032"/>
    <x v="0"/>
  </r>
  <r>
    <x v="8"/>
    <x v="88"/>
    <s v="8949"/>
    <s v="Rødding Sogn"/>
    <x v="1417"/>
    <x v="0"/>
  </r>
  <r>
    <x v="8"/>
    <x v="88"/>
    <s v="8949"/>
    <s v="Rødding Sogn"/>
    <x v="2033"/>
    <x v="0"/>
  </r>
  <r>
    <x v="8"/>
    <x v="88"/>
    <s v="8950"/>
    <s v="Skrave Sogn"/>
    <x v="2034"/>
    <x v="0"/>
  </r>
  <r>
    <x v="8"/>
    <x v="88"/>
    <s v="8951"/>
    <s v="Sønder Hygum Sogn"/>
    <x v="1600"/>
    <x v="0"/>
  </r>
  <r>
    <x v="8"/>
    <x v="88"/>
    <s v="8953"/>
    <s v="Øster Lindet Sogn"/>
    <x v="2035"/>
    <x v="0"/>
  </r>
  <r>
    <x v="8"/>
    <x v="88"/>
    <s v="8977"/>
    <s v="Jels Sogn"/>
    <x v="2036"/>
    <x v="0"/>
  </r>
  <r>
    <x v="8"/>
    <x v="88"/>
    <s v="8977"/>
    <s v="Jels Sogn"/>
    <x v="2037"/>
    <x v="0"/>
  </r>
  <r>
    <x v="8"/>
    <x v="88"/>
    <s v="8987"/>
    <s v="Skodborg Sogn"/>
    <x v="2038"/>
    <x v="0"/>
  </r>
  <r>
    <x v="8"/>
    <x v="88"/>
    <s v="9137"/>
    <s v="Askov Sogn"/>
    <x v="2039"/>
    <x v="0"/>
  </r>
  <r>
    <x v="8"/>
    <x v="88"/>
    <s v="9264"/>
    <s v="Stenderup Sogn"/>
    <x v="2040"/>
    <x v="0"/>
  </r>
  <r>
    <x v="8"/>
    <x v="88"/>
    <s v="9269"/>
    <s v="Hovborg Sogn"/>
    <x v="2041"/>
    <x v="0"/>
  </r>
  <r>
    <x v="8"/>
    <x v="88"/>
    <s v="9363"/>
    <s v="Holsted-Sankt Peders Sogn"/>
    <x v="58"/>
    <x v="0"/>
  </r>
  <r>
    <x v="8"/>
    <x v="88"/>
    <s v="9363"/>
    <s v="Holsted-Sankt Peders Sogn"/>
    <x v="618"/>
    <x v="0"/>
  </r>
  <r>
    <x v="8"/>
    <x v="89"/>
    <s v="8738"/>
    <s v="Skovlund Sogn"/>
    <x v="2042"/>
    <x v="0"/>
  </r>
  <r>
    <x v="8"/>
    <x v="89"/>
    <s v="8787"/>
    <s v="Strellev Sogn"/>
    <x v="2043"/>
    <x v="0"/>
  </r>
  <r>
    <x v="8"/>
    <x v="89"/>
    <s v="8867"/>
    <s v="Thorstrup Sogn"/>
    <x v="2044"/>
    <x v="0"/>
  </r>
  <r>
    <x v="8"/>
    <x v="89"/>
    <s v="8868"/>
    <s v="Horne Sogn"/>
    <x v="941"/>
    <x v="0"/>
  </r>
  <r>
    <x v="8"/>
    <x v="89"/>
    <s v="8869"/>
    <s v="Hodde Sogn"/>
    <x v="2045"/>
    <x v="0"/>
  </r>
  <r>
    <x v="8"/>
    <x v="89"/>
    <s v="8870"/>
    <s v="Tistrup Sogn"/>
    <x v="2046"/>
    <x v="0"/>
  </r>
  <r>
    <x v="8"/>
    <x v="89"/>
    <s v="8871"/>
    <s v="Ølgod Sogn"/>
    <x v="2047"/>
    <x v="1"/>
  </r>
  <r>
    <x v="8"/>
    <x v="89"/>
    <s v="8871"/>
    <s v="Ølgod Sogn"/>
    <x v="2048"/>
    <x v="0"/>
  </r>
  <r>
    <x v="8"/>
    <x v="89"/>
    <s v="8872"/>
    <s v="Ansager Sogn"/>
    <x v="2049"/>
    <x v="0"/>
  </r>
  <r>
    <x v="8"/>
    <x v="89"/>
    <s v="8873"/>
    <s v="Varde Sogn"/>
    <x v="2050"/>
    <x v="0"/>
  </r>
  <r>
    <x v="8"/>
    <x v="89"/>
    <s v="8873"/>
    <s v="Varde Sogn"/>
    <x v="2051"/>
    <x v="0"/>
  </r>
  <r>
    <x v="8"/>
    <x v="89"/>
    <s v="8873"/>
    <s v="Varde Sogn"/>
    <x v="2052"/>
    <x v="0"/>
  </r>
  <r>
    <x v="8"/>
    <x v="89"/>
    <s v="8874"/>
    <s v="Janderup Sogn"/>
    <x v="2053"/>
    <x v="0"/>
  </r>
  <r>
    <x v="8"/>
    <x v="89"/>
    <s v="8875"/>
    <s v="Billum Sogn"/>
    <x v="2054"/>
    <x v="0"/>
  </r>
  <r>
    <x v="8"/>
    <x v="89"/>
    <s v="8876"/>
    <s v="Lunde Sogn"/>
    <x v="825"/>
    <x v="0"/>
  </r>
  <r>
    <x v="8"/>
    <x v="89"/>
    <s v="8877"/>
    <s v="Ovtrup Sogn"/>
    <x v="2055"/>
    <x v="0"/>
  </r>
  <r>
    <x v="8"/>
    <x v="89"/>
    <s v="8878"/>
    <s v="Kvong Sogn"/>
    <x v="2056"/>
    <x v="0"/>
  </r>
  <r>
    <x v="8"/>
    <x v="89"/>
    <s v="8879"/>
    <s v="Nørre Nebel Sogn"/>
    <x v="2057"/>
    <x v="0"/>
  </r>
  <r>
    <x v="8"/>
    <x v="89"/>
    <s v="8880"/>
    <s v="Lydum Sogn"/>
    <x v="2058"/>
    <x v="0"/>
  </r>
  <r>
    <x v="8"/>
    <x v="89"/>
    <s v="8881"/>
    <s v="Henne Sogn"/>
    <x v="2059"/>
    <x v="0"/>
  </r>
  <r>
    <x v="8"/>
    <x v="89"/>
    <s v="8882"/>
    <s v="Lønne Sogn"/>
    <x v="2060"/>
    <x v="0"/>
  </r>
  <r>
    <x v="8"/>
    <x v="89"/>
    <s v="8898"/>
    <s v="Vester Starup Sogn"/>
    <x v="2061"/>
    <x v="0"/>
  </r>
  <r>
    <x v="8"/>
    <x v="89"/>
    <s v="8910"/>
    <s v="Øse Sogn"/>
    <x v="2062"/>
    <x v="0"/>
  </r>
  <r>
    <x v="8"/>
    <x v="89"/>
    <s v="8911"/>
    <s v="Næsbjerg Sogn"/>
    <x v="2063"/>
    <x v="0"/>
  </r>
  <r>
    <x v="8"/>
    <x v="89"/>
    <s v="8914"/>
    <s v="Fåborg Sogn"/>
    <x v="2064"/>
    <x v="0"/>
  </r>
  <r>
    <x v="8"/>
    <x v="89"/>
    <s v="8915"/>
    <s v="Årre Sogn"/>
    <x v="2065"/>
    <x v="0"/>
  </r>
  <r>
    <x v="8"/>
    <x v="89"/>
    <s v="8920"/>
    <s v="Alslev Sogn"/>
    <x v="562"/>
    <x v="0"/>
  </r>
  <r>
    <x v="8"/>
    <x v="89"/>
    <s v="9153"/>
    <s v="Agerbæk Sogn"/>
    <x v="2066"/>
    <x v="0"/>
  </r>
  <r>
    <x v="8"/>
    <x v="89"/>
    <s v="9196"/>
    <s v="Blåvandshuk Sogn"/>
    <x v="2067"/>
    <x v="0"/>
  </r>
  <r>
    <x v="8"/>
    <x v="89"/>
    <s v="9196"/>
    <s v="Blåvandshuk Sogn"/>
    <x v="2068"/>
    <x v="0"/>
  </r>
  <r>
    <x v="8"/>
    <x v="89"/>
    <s v="9196"/>
    <s v="Blåvandshuk Sogn"/>
    <x v="2069"/>
    <x v="0"/>
  </r>
  <r>
    <x v="8"/>
    <x v="89"/>
    <s v="9273"/>
    <s v="Rousthøje Sogn"/>
    <x v="2070"/>
    <x v="0"/>
  </r>
  <r>
    <x v="8"/>
    <x v="89"/>
    <s v="9291"/>
    <s v="Aal Sogn"/>
    <x v="2071"/>
    <x v="0"/>
  </r>
  <r>
    <x v="8"/>
    <x v="89"/>
    <s v="9291"/>
    <s v="Aal Sogn"/>
    <x v="2072"/>
    <x v="0"/>
  </r>
  <r>
    <x v="8"/>
    <x v="90"/>
    <s v="8905"/>
    <s v="Vor Frelsers Sogn"/>
    <x v="2073"/>
    <x v="0"/>
  </r>
  <r>
    <x v="8"/>
    <x v="90"/>
    <s v="8905"/>
    <s v="Vor Frelsers Sogn"/>
    <x v="86"/>
    <x v="0"/>
  </r>
  <r>
    <x v="8"/>
    <x v="90"/>
    <s v="8906"/>
    <s v="Zions Sogn"/>
    <x v="2074"/>
    <x v="0"/>
  </r>
  <r>
    <x v="8"/>
    <x v="90"/>
    <s v="8907"/>
    <s v="Treenigheds Sogn"/>
    <x v="2075"/>
    <x v="0"/>
  </r>
  <r>
    <x v="8"/>
    <x v="90"/>
    <s v="8907"/>
    <s v="Treenigheds Sogn"/>
    <x v="2076"/>
    <x v="0"/>
  </r>
  <r>
    <x v="8"/>
    <x v="90"/>
    <s v="8907"/>
    <s v="Treenigheds Sogn"/>
    <x v="2077"/>
    <x v="0"/>
  </r>
  <r>
    <x v="8"/>
    <x v="90"/>
    <s v="8908"/>
    <s v="Jerne Sogn"/>
    <x v="2078"/>
    <x v="0"/>
  </r>
  <r>
    <x v="8"/>
    <x v="90"/>
    <s v="8908"/>
    <s v="Jerne Sogn"/>
    <x v="2079"/>
    <x v="0"/>
  </r>
  <r>
    <x v="8"/>
    <x v="90"/>
    <s v="8909"/>
    <s v="Skads Sogn"/>
    <x v="2080"/>
    <x v="0"/>
  </r>
  <r>
    <x v="8"/>
    <x v="90"/>
    <s v="8912"/>
    <s v="Grimstrup Sogn"/>
    <x v="2081"/>
    <x v="0"/>
  </r>
  <r>
    <x v="8"/>
    <x v="90"/>
    <s v="8916"/>
    <s v="Sneum Sogn"/>
    <x v="2082"/>
    <x v="0"/>
  </r>
  <r>
    <x v="8"/>
    <x v="90"/>
    <s v="8917"/>
    <s v="Tjæreborg Sogn"/>
    <x v="2083"/>
    <x v="0"/>
  </r>
  <r>
    <x v="8"/>
    <x v="90"/>
    <s v="8918"/>
    <s v="Bryndum Sogn"/>
    <x v="2084"/>
    <x v="0"/>
  </r>
  <r>
    <x v="8"/>
    <x v="90"/>
    <s v="8919"/>
    <s v="Vester Nebel Sogn"/>
    <x v="2085"/>
    <x v="0"/>
  </r>
  <r>
    <x v="8"/>
    <x v="90"/>
    <s v="8921"/>
    <s v="Hostrup Sogn"/>
    <x v="2086"/>
    <x v="0"/>
  </r>
  <r>
    <x v="8"/>
    <x v="90"/>
    <s v="8922"/>
    <s v="Guldager Sogn"/>
    <x v="2087"/>
    <x v="0"/>
  </r>
  <r>
    <x v="8"/>
    <x v="90"/>
    <s v="9073"/>
    <s v="Grundtvigs Sogn"/>
    <x v="2088"/>
    <x v="0"/>
  </r>
  <r>
    <x v="8"/>
    <x v="90"/>
    <s v="9099"/>
    <s v="Kvaglund Sogn"/>
    <x v="2089"/>
    <x v="0"/>
  </r>
  <r>
    <x v="8"/>
    <x v="90"/>
    <s v="9106"/>
    <s v="Sædden Sogn"/>
    <x v="2090"/>
    <x v="0"/>
  </r>
  <r>
    <x v="8"/>
    <x v="90"/>
    <s v="9121"/>
    <s v="Gjesing Sogn"/>
    <x v="1872"/>
    <x v="0"/>
  </r>
  <r>
    <x v="8"/>
    <x v="90"/>
    <s v="9138"/>
    <s v="Hjerting Sogn"/>
    <x v="2032"/>
    <x v="0"/>
  </r>
  <r>
    <x v="8"/>
    <x v="90"/>
    <s v="9313"/>
    <s v="Fanø Sogn"/>
    <x v="2091"/>
    <x v="0"/>
  </r>
  <r>
    <x v="8"/>
    <x v="90"/>
    <s v="9313"/>
    <s v="Fanø Sogn"/>
    <x v="1668"/>
    <x v="0"/>
  </r>
  <r>
    <x v="8"/>
    <x v="91"/>
    <s v="8754"/>
    <s v="Nørre Omme Sogn"/>
    <x v="2092"/>
    <x v="0"/>
  </r>
  <r>
    <x v="8"/>
    <x v="91"/>
    <s v="8755"/>
    <s v="Brejning Sogn"/>
    <x v="2093"/>
    <x v="0"/>
  </r>
  <r>
    <x v="8"/>
    <x v="91"/>
    <s v="8765"/>
    <s v="Skjern Sogn"/>
    <x v="1429"/>
    <x v="0"/>
  </r>
  <r>
    <x v="8"/>
    <x v="91"/>
    <s v="8766"/>
    <s v="Vorgod Sogn"/>
    <x v="2094"/>
    <x v="0"/>
  </r>
  <r>
    <x v="8"/>
    <x v="91"/>
    <s v="8767"/>
    <s v="Nørre Vium Sogn"/>
    <x v="2095"/>
    <x v="0"/>
  </r>
  <r>
    <x v="8"/>
    <x v="91"/>
    <s v="8768"/>
    <s v="Herborg Sogn"/>
    <x v="2096"/>
    <x v="0"/>
  </r>
  <r>
    <x v="8"/>
    <x v="91"/>
    <s v="8769"/>
    <s v="Videbæk Sogn"/>
    <x v="2097"/>
    <x v="0"/>
  </r>
  <r>
    <x v="8"/>
    <x v="91"/>
    <s v="8769"/>
    <s v="Videbæk Sogn"/>
    <x v="2098"/>
    <x v="0"/>
  </r>
  <r>
    <x v="8"/>
    <x v="91"/>
    <s v="8772"/>
    <s v="Dejbjerg Sogn"/>
    <x v="2099"/>
    <x v="0"/>
  </r>
  <r>
    <x v="8"/>
    <x v="91"/>
    <s v="8773"/>
    <s v="Hanning Sogn"/>
    <x v="2100"/>
    <x v="0"/>
  </r>
  <r>
    <x v="8"/>
    <x v="91"/>
    <s v="8774"/>
    <s v="Stauning Sogn"/>
    <x v="2101"/>
    <x v="0"/>
  </r>
  <r>
    <x v="8"/>
    <x v="91"/>
    <s v="8775"/>
    <s v="Bølling Sogn"/>
    <x v="2102"/>
    <x v="0"/>
  </r>
  <r>
    <x v="8"/>
    <x v="91"/>
    <s v="8776"/>
    <s v="Sædding Sogn"/>
    <x v="2103"/>
    <x v="0"/>
  </r>
  <r>
    <x v="8"/>
    <x v="91"/>
    <s v="8777"/>
    <s v="Sønder Borris Sogn"/>
    <x v="2104"/>
    <x v="0"/>
  </r>
  <r>
    <x v="8"/>
    <x v="91"/>
    <s v="8778"/>
    <s v="Faster Sogn"/>
    <x v="2105"/>
    <x v="0"/>
  </r>
  <r>
    <x v="8"/>
    <x v="91"/>
    <s v="8779"/>
    <s v="Sønder Bork Sogn"/>
    <x v="2106"/>
    <x v="0"/>
  </r>
  <r>
    <x v="8"/>
    <x v="91"/>
    <s v="8779"/>
    <s v="Sønder Bork Sogn"/>
    <x v="2107"/>
    <x v="0"/>
  </r>
  <r>
    <x v="8"/>
    <x v="91"/>
    <s v="8780"/>
    <s v="Nørre Bork Sogn"/>
    <x v="2108"/>
    <x v="0"/>
  </r>
  <r>
    <x v="8"/>
    <x v="91"/>
    <s v="8781"/>
    <s v="Hemmet Sogn"/>
    <x v="2109"/>
    <x v="0"/>
  </r>
  <r>
    <x v="8"/>
    <x v="91"/>
    <s v="8782"/>
    <s v="Sønder Vium Sogn"/>
    <x v="2110"/>
    <x v="0"/>
  </r>
  <r>
    <x v="8"/>
    <x v="91"/>
    <s v="8783"/>
    <s v="Lønborg Sogn"/>
    <x v="2111"/>
    <x v="0"/>
  </r>
  <r>
    <x v="8"/>
    <x v="91"/>
    <s v="8784"/>
    <s v="Egvad Sogn"/>
    <x v="2112"/>
    <x v="0"/>
  </r>
  <r>
    <x v="8"/>
    <x v="91"/>
    <s v="8785"/>
    <s v="Ådum Sogn"/>
    <x v="2113"/>
    <x v="0"/>
  </r>
  <r>
    <x v="8"/>
    <x v="91"/>
    <s v="8786"/>
    <s v="Hoven Sogn"/>
    <x v="2114"/>
    <x v="0"/>
  </r>
  <r>
    <x v="8"/>
    <x v="91"/>
    <s v="8788"/>
    <s v="Lyne Sogn"/>
    <x v="2115"/>
    <x v="0"/>
  </r>
  <r>
    <x v="8"/>
    <x v="91"/>
    <s v="9122"/>
    <s v="Tarm Sogn"/>
    <x v="2116"/>
    <x v="0"/>
  </r>
  <r>
    <x v="8"/>
    <x v="91"/>
    <s v="9122"/>
    <s v="Tarm Sogn"/>
    <x v="2117"/>
    <x v="0"/>
  </r>
  <r>
    <x v="8"/>
    <x v="91"/>
    <s v="9122"/>
    <s v="Tarm Sogn"/>
    <x v="2118"/>
    <x v="0"/>
  </r>
  <r>
    <x v="8"/>
    <x v="91"/>
    <s v="9124"/>
    <s v="Troldhede Sogn"/>
    <x v="2119"/>
    <x v="0"/>
  </r>
  <r>
    <x v="8"/>
    <x v="91"/>
    <s v="9275"/>
    <s v="Væggerskilde Sogn"/>
    <x v="2120"/>
    <x v="0"/>
  </r>
  <r>
    <x v="8"/>
    <x v="91"/>
    <s v="9276"/>
    <s v="Finderup Sogn"/>
    <x v="423"/>
    <x v="0"/>
  </r>
  <r>
    <x v="8"/>
    <x v="91"/>
    <s v="9277"/>
    <s v="Fjelstervang Sogn"/>
    <x v="2121"/>
    <x v="0"/>
  </r>
  <r>
    <x v="8"/>
    <x v="92"/>
    <s v="8739"/>
    <s v="Husby Sogn"/>
    <x v="896"/>
    <x v="0"/>
  </r>
  <r>
    <x v="8"/>
    <x v="92"/>
    <s v="8740"/>
    <s v="Sønder Nissum Sogn"/>
    <x v="2122"/>
    <x v="0"/>
  </r>
  <r>
    <x v="8"/>
    <x v="92"/>
    <s v="8740"/>
    <s v="Sønder Nissum Sogn"/>
    <x v="2123"/>
    <x v="1"/>
  </r>
  <r>
    <x v="8"/>
    <x v="92"/>
    <s v="8741"/>
    <s v="Staby Sogn"/>
    <x v="2124"/>
    <x v="0"/>
  </r>
  <r>
    <x v="8"/>
    <x v="92"/>
    <s v="8742"/>
    <s v="Ulfborg Sogn"/>
    <x v="2125"/>
    <x v="0"/>
  </r>
  <r>
    <x v="8"/>
    <x v="92"/>
    <s v="8742"/>
    <s v="Ulfborg Sogn"/>
    <x v="2126"/>
    <x v="1"/>
  </r>
  <r>
    <x v="8"/>
    <x v="92"/>
    <s v="8749"/>
    <s v="Ringkøbing Sogn"/>
    <x v="2127"/>
    <x v="0"/>
  </r>
  <r>
    <x v="8"/>
    <x v="92"/>
    <s v="8749"/>
    <s v="Ringkøbing Sogn"/>
    <x v="2128"/>
    <x v="0"/>
  </r>
  <r>
    <x v="8"/>
    <x v="92"/>
    <s v="8750"/>
    <s v="Rindum Sogn"/>
    <x v="2129"/>
    <x v="0"/>
  </r>
  <r>
    <x v="8"/>
    <x v="92"/>
    <s v="8751"/>
    <s v="Velling Sogn"/>
    <x v="2130"/>
    <x v="0"/>
  </r>
  <r>
    <x v="8"/>
    <x v="92"/>
    <s v="8752"/>
    <s v="Hee Sogn"/>
    <x v="2131"/>
    <x v="0"/>
  </r>
  <r>
    <x v="8"/>
    <x v="92"/>
    <s v="8753"/>
    <s v="No Sogn"/>
    <x v="2132"/>
    <x v="0"/>
  </r>
  <r>
    <x v="8"/>
    <x v="92"/>
    <s v="8756"/>
    <s v="Torsted Sogn"/>
    <x v="1719"/>
    <x v="0"/>
  </r>
  <r>
    <x v="8"/>
    <x v="92"/>
    <s v="8757"/>
    <s v="Hover Sogn"/>
    <x v="2133"/>
    <x v="0"/>
  </r>
  <r>
    <x v="8"/>
    <x v="92"/>
    <s v="8758"/>
    <s v="Stadil Sogn"/>
    <x v="2134"/>
    <x v="0"/>
  </r>
  <r>
    <x v="8"/>
    <x v="92"/>
    <s v="8759"/>
    <s v="Tim Sogn"/>
    <x v="2135"/>
    <x v="0"/>
  </r>
  <r>
    <x v="8"/>
    <x v="92"/>
    <s v="8760"/>
    <s v="Madum Sogn"/>
    <x v="2136"/>
    <x v="0"/>
  </r>
  <r>
    <x v="8"/>
    <x v="92"/>
    <s v="8761"/>
    <s v="Vedersø Sogn"/>
    <x v="2137"/>
    <x v="0"/>
  </r>
  <r>
    <x v="8"/>
    <x v="92"/>
    <s v="8763"/>
    <s v="Ny Sogn"/>
    <x v="2138"/>
    <x v="0"/>
  </r>
  <r>
    <x v="8"/>
    <x v="92"/>
    <s v="8764"/>
    <s v="Gammel Sogn"/>
    <x v="2139"/>
    <x v="0"/>
  </r>
  <r>
    <x v="8"/>
    <x v="92"/>
    <s v="8770"/>
    <s v="Sønder Lem Sogn"/>
    <x v="2140"/>
    <x v="0"/>
  </r>
  <r>
    <x v="8"/>
    <x v="92"/>
    <s v="8771"/>
    <s v="Ølstrup Sogn"/>
    <x v="2141"/>
    <x v="0"/>
  </r>
  <r>
    <x v="8"/>
    <x v="92"/>
    <s v="8827"/>
    <s v="Gørding Sogn"/>
    <x v="2142"/>
    <x v="0"/>
  </r>
  <r>
    <x v="8"/>
    <x v="92"/>
    <s v="8828"/>
    <s v="Vemb Sogn"/>
    <x v="2143"/>
    <x v="0"/>
  </r>
  <r>
    <x v="8"/>
    <x v="92"/>
    <s v="8829"/>
    <s v="Bur Sogn"/>
    <x v="2144"/>
    <x v="0"/>
  </r>
  <r>
    <x v="8"/>
    <x v="92"/>
    <s v="9172"/>
    <s v="Hvide Sande Sogn"/>
    <x v="2145"/>
    <x v="0"/>
  </r>
  <r>
    <x v="8"/>
    <x v="92"/>
    <s v="9278"/>
    <s v="Haurvig Sogn"/>
    <x v="2146"/>
    <x v="0"/>
  </r>
  <r>
    <x v="8"/>
    <x v="92"/>
    <s v="9279"/>
    <s v="Lyngvig Sogn"/>
    <x v="2147"/>
    <x v="0"/>
  </r>
  <r>
    <x v="8"/>
    <x v="92"/>
    <s v="9280"/>
    <s v="Lem Sogn"/>
    <x v="1451"/>
    <x v="0"/>
  </r>
  <r>
    <x v="8"/>
    <x v="93"/>
    <s v="7975"/>
    <s v="Givskud Sogn"/>
    <x v="2148"/>
    <x v="0"/>
  </r>
  <r>
    <x v="8"/>
    <x v="93"/>
    <s v="7976"/>
    <s v="Øster Nykirke Sogn"/>
    <x v="2149"/>
    <x v="0"/>
  </r>
  <r>
    <x v="8"/>
    <x v="93"/>
    <s v="7977"/>
    <s v="Thyregod Sogn"/>
    <x v="2150"/>
    <x v="0"/>
  </r>
  <r>
    <x v="8"/>
    <x v="93"/>
    <s v="7978"/>
    <s v="Vester Sogn"/>
    <x v="2151"/>
    <x v="0"/>
  </r>
  <r>
    <x v="8"/>
    <x v="93"/>
    <s v="7979"/>
    <s v="Sønder Omme Sogn"/>
    <x v="1142"/>
    <x v="3"/>
  </r>
  <r>
    <x v="8"/>
    <x v="93"/>
    <s v="7979"/>
    <s v="Sønder Omme Sogn"/>
    <x v="2152"/>
    <x v="0"/>
  </r>
  <r>
    <x v="8"/>
    <x v="93"/>
    <s v="7981"/>
    <s v="Filskov Sogn"/>
    <x v="2153"/>
    <x v="0"/>
  </r>
  <r>
    <x v="8"/>
    <x v="93"/>
    <s v="7982"/>
    <s v="Ringive Sogn"/>
    <x v="2154"/>
    <x v="0"/>
  </r>
  <r>
    <x v="8"/>
    <x v="93"/>
    <s v="7983"/>
    <s v="Give Sogn"/>
    <x v="2155"/>
    <x v="0"/>
  </r>
  <r>
    <x v="8"/>
    <x v="93"/>
    <s v="7984"/>
    <s v="Gadbjerg Sogn"/>
    <x v="2156"/>
    <x v="0"/>
  </r>
  <r>
    <x v="8"/>
    <x v="93"/>
    <s v="7985"/>
    <s v="Lindeballe Sogn"/>
    <x v="2157"/>
    <x v="0"/>
  </r>
  <r>
    <x v="8"/>
    <x v="93"/>
    <s v="7986"/>
    <s v="Nørup Sogn"/>
    <x v="2158"/>
    <x v="0"/>
  </r>
  <r>
    <x v="8"/>
    <x v="93"/>
    <s v="7987"/>
    <s v="Randbøl Sogn"/>
    <x v="2159"/>
    <x v="0"/>
  </r>
  <r>
    <x v="8"/>
    <x v="93"/>
    <s v="8942"/>
    <s v="Grindsted Sogn"/>
    <x v="2160"/>
    <x v="0"/>
  </r>
  <r>
    <x v="8"/>
    <x v="93"/>
    <s v="8942"/>
    <s v="Grindsted Sogn"/>
    <x v="2161"/>
    <x v="0"/>
  </r>
  <r>
    <x v="8"/>
    <x v="93"/>
    <s v="8943"/>
    <s v="Grene Sogn"/>
    <x v="2162"/>
    <x v="0"/>
  </r>
  <r>
    <x v="8"/>
    <x v="93"/>
    <s v="8943"/>
    <s v="Grene Sogn"/>
    <x v="2163"/>
    <x v="1"/>
  </r>
  <r>
    <x v="8"/>
    <x v="93"/>
    <s v="8943"/>
    <s v="Grene Sogn"/>
    <x v="2164"/>
    <x v="0"/>
  </r>
  <r>
    <x v="8"/>
    <x v="93"/>
    <s v="8944"/>
    <s v="Vorbasse Sogn"/>
    <x v="2165"/>
    <x v="0"/>
  </r>
  <r>
    <x v="8"/>
    <x v="93"/>
    <s v="8945"/>
    <s v="Hejnsvig Sogn"/>
    <x v="2166"/>
    <x v="0"/>
  </r>
  <r>
    <x v="8"/>
    <x v="93"/>
    <s v="9114"/>
    <s v="Stenderup Sogn"/>
    <x v="2040"/>
    <x v="0"/>
  </r>
  <r>
    <x v="8"/>
    <x v="93"/>
    <s v="9265"/>
    <s v="Urup Sogn"/>
    <x v="2167"/>
    <x v="0"/>
  </r>
  <r>
    <x v="8"/>
    <x v="93"/>
    <s v="9266"/>
    <s v="Nollund Sogn"/>
    <x v="2168"/>
    <x v="0"/>
  </r>
  <r>
    <x v="8"/>
    <x v="93"/>
    <s v="9267"/>
    <s v="Vesterhede Sogn"/>
    <x v="2169"/>
    <x v="0"/>
  </r>
  <r>
    <x v="8"/>
    <x v="93"/>
    <s v="9270"/>
    <s v="Skjoldbjerg Sogn"/>
    <x v="2170"/>
    <x v="0"/>
  </r>
  <r>
    <x v="8"/>
    <x v="93"/>
    <s v="9283"/>
    <s v="Farre Sogn"/>
    <x v="2171"/>
    <x v="0"/>
  </r>
  <r>
    <x v="8"/>
    <x v="93"/>
    <s v="9284"/>
    <s v="Vorslunde Sogn"/>
    <x v="2172"/>
    <x v="0"/>
  </r>
  <r>
    <x v="8"/>
    <x v="93"/>
    <s v="9285"/>
    <s v="Langelund Sogn"/>
    <x v="2173"/>
    <x v="0"/>
  </r>
  <r>
    <x v="8"/>
    <x v="93"/>
    <s v="9286"/>
    <s v="Vonge Sogn"/>
    <x v="2174"/>
    <x v="0"/>
  </r>
  <r>
    <x v="8"/>
    <x v="94"/>
    <s v="8956"/>
    <s v="Agerskov Sogn"/>
    <x v="2175"/>
    <x v="0"/>
  </r>
  <r>
    <x v="8"/>
    <x v="94"/>
    <s v="8958"/>
    <s v="Tirslund Sogn"/>
    <x v="2176"/>
    <x v="0"/>
  </r>
  <r>
    <x v="8"/>
    <x v="94"/>
    <s v="8959"/>
    <s v="Branderup Sogn"/>
    <x v="2177"/>
    <x v="0"/>
  </r>
  <r>
    <x v="8"/>
    <x v="94"/>
    <s v="8960"/>
    <s v="Toftlund Sogn"/>
    <x v="2178"/>
    <x v="0"/>
  </r>
  <r>
    <x v="8"/>
    <x v="94"/>
    <s v="9016"/>
    <s v="Bedsted Sogn"/>
    <x v="1272"/>
    <x v="0"/>
  </r>
  <r>
    <x v="8"/>
    <x v="94"/>
    <s v="9031"/>
    <s v="Rejsby Sogn"/>
    <x v="2179"/>
    <x v="0"/>
  </r>
  <r>
    <x v="8"/>
    <x v="94"/>
    <s v="9032"/>
    <s v="Brøns Sogn"/>
    <x v="2180"/>
    <x v="0"/>
  </r>
  <r>
    <x v="8"/>
    <x v="94"/>
    <s v="9033"/>
    <s v="Vodder Sogn"/>
    <x v="2181"/>
    <x v="0"/>
  </r>
  <r>
    <x v="8"/>
    <x v="94"/>
    <s v="9036"/>
    <s v="Arrild Sogn"/>
    <x v="2182"/>
    <x v="0"/>
  </r>
  <r>
    <x v="8"/>
    <x v="94"/>
    <s v="9038"/>
    <s v="Skærbæk Sogn"/>
    <x v="2183"/>
    <x v="3"/>
  </r>
  <r>
    <x v="8"/>
    <x v="94"/>
    <s v="9038"/>
    <s v="Skærbæk Sogn"/>
    <x v="2184"/>
    <x v="0"/>
  </r>
  <r>
    <x v="8"/>
    <x v="94"/>
    <s v="9040"/>
    <s v="Ubjerg Sogn"/>
    <x v="2185"/>
    <x v="0"/>
  </r>
  <r>
    <x v="8"/>
    <x v="94"/>
    <s v="9041"/>
    <s v="Abild Sogn"/>
    <x v="2186"/>
    <x v="0"/>
  </r>
  <r>
    <x v="8"/>
    <x v="94"/>
    <s v="9042"/>
    <s v="Visby Sogn"/>
    <x v="1268"/>
    <x v="0"/>
  </r>
  <r>
    <x v="8"/>
    <x v="94"/>
    <s v="9043"/>
    <s v="Daler Sogn"/>
    <x v="2187"/>
    <x v="0"/>
  </r>
  <r>
    <x v="8"/>
    <x v="94"/>
    <s v="9044"/>
    <s v="Møgeltønder Sogn"/>
    <x v="2188"/>
    <x v="0"/>
  </r>
  <r>
    <x v="8"/>
    <x v="94"/>
    <s v="9045"/>
    <s v="Løgumkloster Sogn"/>
    <x v="2189"/>
    <x v="0"/>
  </r>
  <r>
    <x v="8"/>
    <x v="94"/>
    <s v="9046"/>
    <s v="Nørre Løgum Sogn"/>
    <x v="2190"/>
    <x v="0"/>
  </r>
  <r>
    <x v="8"/>
    <x v="94"/>
    <s v="9047"/>
    <s v="Brede Sogn"/>
    <x v="2191"/>
    <x v="0"/>
  </r>
  <r>
    <x v="8"/>
    <x v="94"/>
    <s v="9048"/>
    <s v="Døstrup Sogn"/>
    <x v="1805"/>
    <x v="0"/>
  </r>
  <r>
    <x v="8"/>
    <x v="94"/>
    <s v="9049"/>
    <s v="Mjolden Sogn"/>
    <x v="2192"/>
    <x v="0"/>
  </r>
  <r>
    <x v="8"/>
    <x v="94"/>
    <s v="9050"/>
    <s v="Randerup Sogn"/>
    <x v="2193"/>
    <x v="0"/>
  </r>
  <r>
    <x v="8"/>
    <x v="94"/>
    <s v="9051"/>
    <s v="Højer Sogn"/>
    <x v="2194"/>
    <x v="0"/>
  </r>
  <r>
    <x v="8"/>
    <x v="94"/>
    <s v="9052"/>
    <s v="Emmerlev Sogn"/>
    <x v="2195"/>
    <x v="0"/>
  </r>
  <r>
    <x v="8"/>
    <x v="94"/>
    <s v="9053"/>
    <s v="Hjerpsted Sogn"/>
    <x v="2196"/>
    <x v="0"/>
  </r>
  <r>
    <x v="8"/>
    <x v="94"/>
    <s v="9054"/>
    <s v="Ballum Sogn"/>
    <x v="2197"/>
    <x v="0"/>
  </r>
  <r>
    <x v="8"/>
    <x v="94"/>
    <s v="9055"/>
    <s v="Sønder Skast Sogn"/>
    <x v="2198"/>
    <x v="0"/>
  </r>
  <r>
    <x v="8"/>
    <x v="94"/>
    <s v="9058"/>
    <s v="Højst Sogn"/>
    <x v="2199"/>
    <x v="0"/>
  </r>
  <r>
    <x v="8"/>
    <x v="94"/>
    <s v="9059"/>
    <s v="Hostrup Sogn"/>
    <x v="2086"/>
    <x v="0"/>
  </r>
  <r>
    <x v="8"/>
    <x v="94"/>
    <s v="9062"/>
    <s v="Rømø Sogn"/>
    <x v="45"/>
    <x v="0"/>
  </r>
  <r>
    <x v="8"/>
    <x v="94"/>
    <s v="9178"/>
    <s v="Tønder Sogn"/>
    <x v="2200"/>
    <x v="0"/>
  </r>
  <r>
    <x v="8"/>
    <x v="94"/>
    <s v="9178"/>
    <s v="Tønder Sogn"/>
    <x v="2201"/>
    <x v="0"/>
  </r>
  <r>
    <x v="9"/>
    <x v="95"/>
    <s v="8946"/>
    <s v="Gram Sogn"/>
    <x v="2202"/>
    <x v="0"/>
  </r>
  <r>
    <x v="9"/>
    <x v="95"/>
    <s v="8952"/>
    <s v="Fole Sogn"/>
    <x v="2203"/>
    <x v="0"/>
  </r>
  <r>
    <x v="9"/>
    <x v="95"/>
    <s v="8954"/>
    <s v="Nustrup Sogn"/>
    <x v="2204"/>
    <x v="0"/>
  </r>
  <r>
    <x v="9"/>
    <x v="95"/>
    <s v="8955"/>
    <s v="Skrydstrup Sogn"/>
    <x v="2205"/>
    <x v="0"/>
  </r>
  <r>
    <x v="9"/>
    <x v="95"/>
    <s v="8957"/>
    <s v="Bevtoft Sogn"/>
    <x v="2206"/>
    <x v="0"/>
  </r>
  <r>
    <x v="9"/>
    <x v="95"/>
    <s v="8961"/>
    <s v="Haderslev Vor Frue Domsogn"/>
    <x v="2207"/>
    <x v="1"/>
  </r>
  <r>
    <x v="9"/>
    <x v="95"/>
    <s v="8961"/>
    <s v="Haderslev Vor Frue Domsogn"/>
    <x v="117"/>
    <x v="0"/>
  </r>
  <r>
    <x v="9"/>
    <x v="95"/>
    <s v="8961"/>
    <s v="Haderslev Vor Frue Domsogn"/>
    <x v="2208"/>
    <x v="0"/>
  </r>
  <r>
    <x v="9"/>
    <x v="95"/>
    <s v="8962"/>
    <s v="Gammel Haderslev Sogn"/>
    <x v="2209"/>
    <x v="0"/>
  </r>
  <r>
    <x v="9"/>
    <x v="95"/>
    <s v="8963"/>
    <s v="Åstrup Sogn"/>
    <x v="928"/>
    <x v="0"/>
  </r>
  <r>
    <x v="9"/>
    <x v="95"/>
    <s v="8964"/>
    <s v="Halk Sogn"/>
    <x v="2210"/>
    <x v="0"/>
  </r>
  <r>
    <x v="9"/>
    <x v="95"/>
    <s v="8965"/>
    <s v="Hoptrup Sogn"/>
    <x v="2211"/>
    <x v="0"/>
  </r>
  <r>
    <x v="9"/>
    <x v="95"/>
    <s v="8966"/>
    <s v="Moltrup Sogn"/>
    <x v="2212"/>
    <x v="0"/>
  </r>
  <r>
    <x v="9"/>
    <x v="95"/>
    <s v="8967"/>
    <s v="Bjerning Sogn"/>
    <x v="2213"/>
    <x v="0"/>
  </r>
  <r>
    <x v="9"/>
    <x v="95"/>
    <s v="8968"/>
    <s v="Øsby Sogn"/>
    <x v="2214"/>
    <x v="1"/>
  </r>
  <r>
    <x v="9"/>
    <x v="95"/>
    <s v="8968"/>
    <s v="Øsby Sogn"/>
    <x v="2215"/>
    <x v="0"/>
  </r>
  <r>
    <x v="9"/>
    <x v="95"/>
    <s v="8969"/>
    <s v="Sønder Starup Sogn"/>
    <x v="2216"/>
    <x v="0"/>
  </r>
  <r>
    <x v="9"/>
    <x v="95"/>
    <s v="8970"/>
    <s v="Grarup Sogn"/>
    <x v="2217"/>
    <x v="0"/>
  </r>
  <r>
    <x v="9"/>
    <x v="95"/>
    <s v="8971"/>
    <s v="Vilstrup Sogn"/>
    <x v="2218"/>
    <x v="0"/>
  </r>
  <r>
    <x v="9"/>
    <x v="95"/>
    <s v="8972"/>
    <s v="Vonsbæk Sogn"/>
    <x v="2219"/>
    <x v="0"/>
  </r>
  <r>
    <x v="9"/>
    <x v="95"/>
    <s v="8973"/>
    <s v="Hammelev Sogn"/>
    <x v="1859"/>
    <x v="0"/>
  </r>
  <r>
    <x v="9"/>
    <x v="95"/>
    <s v="8974"/>
    <s v="Maugstrup Sogn"/>
    <x v="2220"/>
    <x v="0"/>
  </r>
  <r>
    <x v="9"/>
    <x v="95"/>
    <s v="8975"/>
    <s v="Vojens Sogn"/>
    <x v="2221"/>
    <x v="0"/>
  </r>
  <r>
    <x v="9"/>
    <x v="95"/>
    <s v="8975"/>
    <s v="Vojens Sogn"/>
    <x v="2222"/>
    <x v="0"/>
  </r>
  <r>
    <x v="9"/>
    <x v="95"/>
    <s v="8976"/>
    <s v="Jegerup Sogn"/>
    <x v="2223"/>
    <x v="0"/>
  </r>
  <r>
    <x v="9"/>
    <x v="95"/>
    <s v="8978"/>
    <s v="Oksenvad Sogn"/>
    <x v="2224"/>
    <x v="0"/>
  </r>
  <r>
    <x v="9"/>
    <x v="95"/>
    <s v="8979"/>
    <s v="Sommersted Sogn"/>
    <x v="2225"/>
    <x v="0"/>
  </r>
  <r>
    <x v="9"/>
    <x v="95"/>
    <s v="8979"/>
    <s v="Sommersted Sogn"/>
    <x v="2226"/>
    <x v="0"/>
  </r>
  <r>
    <x v="9"/>
    <x v="95"/>
    <s v="8980"/>
    <s v="Vedsted Sogn"/>
    <x v="1199"/>
    <x v="0"/>
  </r>
  <r>
    <x v="9"/>
    <x v="95"/>
    <s v="8982"/>
    <s v="Fjelstrup Sogn"/>
    <x v="2227"/>
    <x v="0"/>
  </r>
  <r>
    <x v="9"/>
    <x v="95"/>
    <s v="8986"/>
    <s v="Hjerndrup Sogn"/>
    <x v="2228"/>
    <x v="0"/>
  </r>
  <r>
    <x v="9"/>
    <x v="95"/>
    <s v="9037"/>
    <s v="Højrup Sogn"/>
    <x v="2229"/>
    <x v="0"/>
  </r>
  <r>
    <x v="9"/>
    <x v="96"/>
    <s v="9010"/>
    <s v="Aabenraa Sogn"/>
    <x v="617"/>
    <x v="1"/>
  </r>
  <r>
    <x v="9"/>
    <x v="96"/>
    <s v="9010"/>
    <s v="Aabenraa Sogn"/>
    <x v="2230"/>
    <x v="0"/>
  </r>
  <r>
    <x v="9"/>
    <x v="96"/>
    <s v="9010"/>
    <s v="Aabenraa Sogn"/>
    <x v="2231"/>
    <x v="0"/>
  </r>
  <r>
    <x v="9"/>
    <x v="96"/>
    <s v="9010"/>
    <s v="Aabenraa Sogn"/>
    <x v="30"/>
    <x v="0"/>
  </r>
  <r>
    <x v="9"/>
    <x v="96"/>
    <s v="9010"/>
    <s v="Aabenraa Sogn"/>
    <x v="2232"/>
    <x v="1"/>
  </r>
  <r>
    <x v="9"/>
    <x v="96"/>
    <s v="9011"/>
    <s v="Hjordkær Sogn"/>
    <x v="2233"/>
    <x v="0"/>
  </r>
  <r>
    <x v="9"/>
    <x v="96"/>
    <s v="9012"/>
    <s v="Løjt Sogn"/>
    <x v="2234"/>
    <x v="0"/>
  </r>
  <r>
    <x v="9"/>
    <x v="96"/>
    <s v="9013"/>
    <s v="Bjolderup Sogn"/>
    <x v="2235"/>
    <x v="0"/>
  </r>
  <r>
    <x v="9"/>
    <x v="96"/>
    <s v="9014"/>
    <s v="Rise Sogn"/>
    <x v="1009"/>
    <x v="0"/>
  </r>
  <r>
    <x v="9"/>
    <x v="96"/>
    <s v="9015"/>
    <s v="Øster Løgum Sogn"/>
    <x v="2236"/>
    <x v="0"/>
  </r>
  <r>
    <x v="9"/>
    <x v="96"/>
    <s v="9017"/>
    <s v="Hellevad Sogn"/>
    <x v="1127"/>
    <x v="0"/>
  </r>
  <r>
    <x v="9"/>
    <x v="96"/>
    <s v="9018"/>
    <s v="Egvad Sogn"/>
    <x v="2112"/>
    <x v="0"/>
  </r>
  <r>
    <x v="9"/>
    <x v="96"/>
    <s v="9021"/>
    <s v="Varnæs Sogn"/>
    <x v="2237"/>
    <x v="0"/>
  </r>
  <r>
    <x v="9"/>
    <x v="96"/>
    <s v="9022"/>
    <s v="Ensted Sogn"/>
    <x v="2238"/>
    <x v="0"/>
  </r>
  <r>
    <x v="9"/>
    <x v="96"/>
    <s v="9023"/>
    <s v="Felsted Sogn"/>
    <x v="2239"/>
    <x v="0"/>
  </r>
  <r>
    <x v="9"/>
    <x v="96"/>
    <s v="9024"/>
    <s v="Holbøl Sogn"/>
    <x v="2240"/>
    <x v="0"/>
  </r>
  <r>
    <x v="9"/>
    <x v="96"/>
    <s v="9026"/>
    <s v="Uge Sogn"/>
    <x v="2241"/>
    <x v="0"/>
  </r>
  <r>
    <x v="9"/>
    <x v="96"/>
    <s v="9027"/>
    <s v="Kliplev Sogn"/>
    <x v="2242"/>
    <x v="0"/>
  </r>
  <r>
    <x v="9"/>
    <x v="96"/>
    <s v="9029"/>
    <s v="Bov Sogn"/>
    <x v="1579"/>
    <x v="1"/>
  </r>
  <r>
    <x v="9"/>
    <x v="96"/>
    <s v="9029"/>
    <s v="Bov Sogn"/>
    <x v="2243"/>
    <x v="0"/>
  </r>
  <r>
    <x v="9"/>
    <x v="96"/>
    <s v="9029"/>
    <s v="Bov Sogn"/>
    <x v="2244"/>
    <x v="0"/>
  </r>
  <r>
    <x v="9"/>
    <x v="96"/>
    <s v="9056"/>
    <s v="Burkal Sogn"/>
    <x v="2245"/>
    <x v="0"/>
  </r>
  <r>
    <x v="9"/>
    <x v="96"/>
    <s v="9057"/>
    <s v="Bylderup Sogn"/>
    <x v="2246"/>
    <x v="0"/>
  </r>
  <r>
    <x v="9"/>
    <x v="96"/>
    <s v="9060"/>
    <s v="Ravsted Sogn"/>
    <x v="2247"/>
    <x v="0"/>
  </r>
  <r>
    <x v="9"/>
    <x v="96"/>
    <s v="9061"/>
    <s v="Tinglev Sogn"/>
    <x v="2248"/>
    <x v="0"/>
  </r>
  <r>
    <x v="9"/>
    <x v="96"/>
    <s v="9260"/>
    <s v="Genner Sogn"/>
    <x v="2249"/>
    <x v="0"/>
  </r>
  <r>
    <x v="9"/>
    <x v="97"/>
    <s v="8988"/>
    <s v="Sankt Marie Sogn"/>
    <x v="2250"/>
    <x v="0"/>
  </r>
  <r>
    <x v="9"/>
    <x v="97"/>
    <s v="8988"/>
    <s v="Sankt Marie Sogn"/>
    <x v="2251"/>
    <x v="0"/>
  </r>
  <r>
    <x v="9"/>
    <x v="97"/>
    <s v="8988"/>
    <s v="Sankt Marie Sogn"/>
    <x v="2252"/>
    <x v="0"/>
  </r>
  <r>
    <x v="9"/>
    <x v="97"/>
    <s v="8989"/>
    <s v="Christians Sogn"/>
    <x v="2253"/>
    <x v="0"/>
  </r>
  <r>
    <x v="9"/>
    <x v="97"/>
    <s v="8989"/>
    <s v="Christians Sogn"/>
    <x v="301"/>
    <x v="0"/>
  </r>
  <r>
    <x v="9"/>
    <x v="97"/>
    <s v="8990"/>
    <s v="Augustenborg Sogn"/>
    <x v="2254"/>
    <x v="0"/>
  </r>
  <r>
    <x v="9"/>
    <x v="97"/>
    <s v="8990"/>
    <s v="Augustenborg Sogn"/>
    <x v="2255"/>
    <x v="0"/>
  </r>
  <r>
    <x v="9"/>
    <x v="97"/>
    <s v="8991"/>
    <s v="Ketting Sogn"/>
    <x v="2256"/>
    <x v="0"/>
  </r>
  <r>
    <x v="9"/>
    <x v="97"/>
    <s v="8992"/>
    <s v="Ulkebøl Sogn"/>
    <x v="2257"/>
    <x v="0"/>
  </r>
  <r>
    <x v="9"/>
    <x v="97"/>
    <s v="8993"/>
    <s v="Notmark Sogn"/>
    <x v="117"/>
    <x v="0"/>
  </r>
  <r>
    <x v="9"/>
    <x v="97"/>
    <s v="8994"/>
    <s v="Asserballe Sogn"/>
    <x v="2258"/>
    <x v="0"/>
  </r>
  <r>
    <x v="9"/>
    <x v="97"/>
    <s v="8995"/>
    <s v="Tandslet Sogn"/>
    <x v="2259"/>
    <x v="0"/>
  </r>
  <r>
    <x v="9"/>
    <x v="97"/>
    <s v="8996"/>
    <s v="Hørup Sogn"/>
    <x v="1625"/>
    <x v="0"/>
  </r>
  <r>
    <x v="9"/>
    <x v="97"/>
    <s v="8997"/>
    <s v="Lysabild Sogn"/>
    <x v="2260"/>
    <x v="0"/>
  </r>
  <r>
    <x v="9"/>
    <x v="97"/>
    <s v="8998"/>
    <s v="Kegnæs Sogn"/>
    <x v="10"/>
    <x v="0"/>
  </r>
  <r>
    <x v="9"/>
    <x v="97"/>
    <s v="8999"/>
    <s v="Nordborg Sogn"/>
    <x v="2261"/>
    <x v="0"/>
  </r>
  <r>
    <x v="9"/>
    <x v="97"/>
    <s v="8999"/>
    <s v="Nordborg Sogn"/>
    <x v="2262"/>
    <x v="0"/>
  </r>
  <r>
    <x v="9"/>
    <x v="97"/>
    <s v="9000"/>
    <s v="Svenstrup Sogn"/>
    <x v="1093"/>
    <x v="0"/>
  </r>
  <r>
    <x v="9"/>
    <x v="97"/>
    <s v="9001"/>
    <s v="Havnbjerg Sogn"/>
    <x v="2263"/>
    <x v="0"/>
  </r>
  <r>
    <x v="9"/>
    <x v="97"/>
    <s v="9002"/>
    <s v="Oksbøl Sogn"/>
    <x v="117"/>
    <x v="0"/>
  </r>
  <r>
    <x v="9"/>
    <x v="97"/>
    <s v="9003"/>
    <s v="Egen Sogn"/>
    <x v="2264"/>
    <x v="0"/>
  </r>
  <r>
    <x v="9"/>
    <x v="97"/>
    <s v="9004"/>
    <s v="Broager Sogn"/>
    <x v="2265"/>
    <x v="0"/>
  </r>
  <r>
    <x v="9"/>
    <x v="97"/>
    <s v="9004"/>
    <s v="Broager Sogn"/>
    <x v="2266"/>
    <x v="0"/>
  </r>
  <r>
    <x v="9"/>
    <x v="97"/>
    <s v="9005"/>
    <s v="Egernsund Sogn"/>
    <x v="2267"/>
    <x v="0"/>
  </r>
  <r>
    <x v="9"/>
    <x v="97"/>
    <s v="9006"/>
    <s v="Dybbøl Sogn"/>
    <x v="2268"/>
    <x v="0"/>
  </r>
  <r>
    <x v="9"/>
    <x v="97"/>
    <s v="9006"/>
    <s v="Dybbøl Sogn"/>
    <x v="2269"/>
    <x v="0"/>
  </r>
  <r>
    <x v="9"/>
    <x v="97"/>
    <s v="9007"/>
    <s v="Nybøl Sogn"/>
    <x v="2040"/>
    <x v="0"/>
  </r>
  <r>
    <x v="9"/>
    <x v="97"/>
    <s v="9007"/>
    <s v="Nybøl Sogn"/>
    <x v="2270"/>
    <x v="0"/>
  </r>
  <r>
    <x v="9"/>
    <x v="97"/>
    <s v="9008"/>
    <s v="Sottrup Sogn"/>
    <x v="2271"/>
    <x v="0"/>
  </r>
  <r>
    <x v="9"/>
    <x v="97"/>
    <s v="9009"/>
    <s v="Ullerup Sogn"/>
    <x v="2272"/>
    <x v="0"/>
  </r>
  <r>
    <x v="9"/>
    <x v="97"/>
    <s v="9025"/>
    <s v="Rinkenæs Sogn"/>
    <x v="2273"/>
    <x v="1"/>
  </r>
  <r>
    <x v="9"/>
    <x v="97"/>
    <s v="9025"/>
    <s v="Rinkenæs Sogn"/>
    <x v="2274"/>
    <x v="0"/>
  </r>
  <r>
    <x v="9"/>
    <x v="97"/>
    <s v="9028"/>
    <s v="Kværs Sogn"/>
    <x v="2275"/>
    <x v="0"/>
  </r>
  <r>
    <x v="9"/>
    <x v="97"/>
    <s v="9358"/>
    <s v="Gråsten-Adsbøl Sogn"/>
    <x v="2276"/>
    <x v="0"/>
  </r>
  <r>
    <x v="9"/>
    <x v="97"/>
    <s v="9358"/>
    <s v="Gråsten-Adsbøl Sogn"/>
    <x v="2277"/>
    <x v="0"/>
  </r>
  <r>
    <x v="9"/>
    <x v="97"/>
    <s v="9358"/>
    <s v="Gråsten-Adsbøl Sogn"/>
    <x v="2278"/>
    <x v="0"/>
  </r>
  <r>
    <x v="9"/>
    <x v="98"/>
    <s v="7909"/>
    <s v="Trinitatis Sogn"/>
    <x v="112"/>
    <x v="0"/>
  </r>
  <r>
    <x v="9"/>
    <x v="98"/>
    <s v="7909"/>
    <s v="Trinitatis Sogn"/>
    <x v="2279"/>
    <x v="0"/>
  </r>
  <r>
    <x v="9"/>
    <x v="98"/>
    <s v="7910"/>
    <s v="Vejlby Sogn"/>
    <x v="2280"/>
    <x v="0"/>
  </r>
  <r>
    <x v="9"/>
    <x v="98"/>
    <s v="7911"/>
    <s v="Sankt Michaelis Sogn"/>
    <x v="2281"/>
    <x v="0"/>
  </r>
  <r>
    <x v="9"/>
    <x v="98"/>
    <s v="7911"/>
    <s v="Sankt Michaelis Sogn"/>
    <x v="2282"/>
    <x v="0"/>
  </r>
  <r>
    <x v="9"/>
    <x v="98"/>
    <s v="7911"/>
    <s v="Sankt Michaelis Sogn"/>
    <x v="2283"/>
    <x v="0"/>
  </r>
  <r>
    <x v="9"/>
    <x v="98"/>
    <s v="7912"/>
    <s v="Christians Sogn"/>
    <x v="301"/>
    <x v="0"/>
  </r>
  <r>
    <x v="9"/>
    <x v="98"/>
    <s v="7913"/>
    <s v="Erritsø Sogn"/>
    <x v="2284"/>
    <x v="0"/>
  </r>
  <r>
    <x v="9"/>
    <x v="98"/>
    <s v="7914"/>
    <s v="Bredstrup Sogn"/>
    <x v="2285"/>
    <x v="0"/>
  </r>
  <r>
    <x v="9"/>
    <x v="98"/>
    <s v="7915"/>
    <s v="Taulov Sogn"/>
    <x v="2286"/>
    <x v="0"/>
  </r>
  <r>
    <x v="9"/>
    <x v="98"/>
    <s v="7921"/>
    <s v="Pjedsted Sogn"/>
    <x v="2287"/>
    <x v="0"/>
  </r>
  <r>
    <x v="9"/>
    <x v="98"/>
    <s v="7935"/>
    <s v="Herslev Sogn"/>
    <x v="378"/>
    <x v="0"/>
  </r>
  <r>
    <x v="9"/>
    <x v="98"/>
    <s v="9087"/>
    <s v="Hannerup Sogn"/>
    <x v="2288"/>
    <x v="0"/>
  </r>
  <r>
    <x v="9"/>
    <x v="98"/>
    <s v="9163"/>
    <s v="Lyng Sogn"/>
    <x v="2289"/>
    <x v="0"/>
  </r>
  <r>
    <x v="9"/>
    <x v="99"/>
    <s v="7927"/>
    <s v="Sankt Nicolai Sogn"/>
    <x v="30"/>
    <x v="0"/>
  </r>
  <r>
    <x v="9"/>
    <x v="99"/>
    <s v="7928"/>
    <s v="Kristkirkens Sogn"/>
    <x v="2290"/>
    <x v="0"/>
  </r>
  <r>
    <x v="9"/>
    <x v="99"/>
    <s v="7928"/>
    <s v="Kristkirkens Sogn"/>
    <x v="25"/>
    <x v="1"/>
  </r>
  <r>
    <x v="9"/>
    <x v="99"/>
    <s v="7928"/>
    <s v="Kristkirkens Sogn"/>
    <x v="2291"/>
    <x v="0"/>
  </r>
  <r>
    <x v="9"/>
    <x v="99"/>
    <s v="7928"/>
    <s v="Kristkirkens Sogn"/>
    <x v="127"/>
    <x v="0"/>
  </r>
  <r>
    <x v="9"/>
    <x v="99"/>
    <s v="7929"/>
    <s v="Brændkjær Sogn"/>
    <x v="2292"/>
    <x v="0"/>
  </r>
  <r>
    <x v="9"/>
    <x v="99"/>
    <s v="7930"/>
    <s v="Eltang Sogn"/>
    <x v="2293"/>
    <x v="0"/>
  </r>
  <r>
    <x v="9"/>
    <x v="99"/>
    <s v="7931"/>
    <s v="Sønder Vilstrup Sogn"/>
    <x v="2294"/>
    <x v="0"/>
  </r>
  <r>
    <x v="9"/>
    <x v="99"/>
    <s v="7932"/>
    <s v="Nørre Bjert Sogn"/>
    <x v="2295"/>
    <x v="0"/>
  </r>
  <r>
    <x v="9"/>
    <x v="99"/>
    <s v="7932"/>
    <s v="Nørre Bjert Sogn"/>
    <x v="2296"/>
    <x v="0"/>
  </r>
  <r>
    <x v="9"/>
    <x v="99"/>
    <s v="7933"/>
    <s v="Harte Sogn"/>
    <x v="2297"/>
    <x v="0"/>
  </r>
  <r>
    <x v="9"/>
    <x v="99"/>
    <s v="7934"/>
    <s v="Bramdrup Sogn"/>
    <x v="2298"/>
    <x v="0"/>
  </r>
  <r>
    <x v="9"/>
    <x v="99"/>
    <s v="7934"/>
    <s v="Bramdrup Sogn"/>
    <x v="2299"/>
    <x v="0"/>
  </r>
  <r>
    <x v="9"/>
    <x v="99"/>
    <s v="7936"/>
    <s v="Almind Sogn"/>
    <x v="1391"/>
    <x v="0"/>
  </r>
  <r>
    <x v="9"/>
    <x v="99"/>
    <s v="7937"/>
    <s v="Viuf Sogn"/>
    <x v="2300"/>
    <x v="0"/>
  </r>
  <r>
    <x v="9"/>
    <x v="99"/>
    <s v="7939"/>
    <s v="Vester Nebel Sogn"/>
    <x v="2085"/>
    <x v="0"/>
  </r>
  <r>
    <x v="9"/>
    <x v="99"/>
    <s v="7940"/>
    <s v="Vonsild Sogn"/>
    <x v="2301"/>
    <x v="0"/>
  </r>
  <r>
    <x v="9"/>
    <x v="99"/>
    <s v="7941"/>
    <s v="Dalby Sogn"/>
    <x v="563"/>
    <x v="0"/>
  </r>
  <r>
    <x v="9"/>
    <x v="99"/>
    <s v="7942"/>
    <s v="Sønder Bjert Sogn"/>
    <x v="2302"/>
    <x v="0"/>
  </r>
  <r>
    <x v="9"/>
    <x v="99"/>
    <s v="7943"/>
    <s v="Sønder Stenderup Sogn"/>
    <x v="2303"/>
    <x v="0"/>
  </r>
  <r>
    <x v="9"/>
    <x v="99"/>
    <s v="7944"/>
    <s v="Hejls Sogn"/>
    <x v="2304"/>
    <x v="0"/>
  </r>
  <r>
    <x v="9"/>
    <x v="99"/>
    <s v="7945"/>
    <s v="Vejstrup Sogn"/>
    <x v="920"/>
    <x v="0"/>
  </r>
  <r>
    <x v="9"/>
    <x v="99"/>
    <s v="7946"/>
    <s v="Ødis Sogn"/>
    <x v="2305"/>
    <x v="0"/>
  </r>
  <r>
    <x v="9"/>
    <x v="99"/>
    <s v="7947"/>
    <s v="Taps Sogn"/>
    <x v="2306"/>
    <x v="0"/>
  </r>
  <r>
    <x v="9"/>
    <x v="99"/>
    <s v="8935"/>
    <s v="Lejrskov Sogn"/>
    <x v="2307"/>
    <x v="0"/>
  </r>
  <r>
    <x v="9"/>
    <x v="99"/>
    <s v="8936"/>
    <s v="Jordrup Sogn"/>
    <x v="2308"/>
    <x v="0"/>
  </r>
  <r>
    <x v="9"/>
    <x v="99"/>
    <s v="8939"/>
    <s v="Skanderup Sogn"/>
    <x v="1714"/>
    <x v="0"/>
  </r>
  <r>
    <x v="9"/>
    <x v="99"/>
    <s v="8939"/>
    <s v="Skanderup Sogn"/>
    <x v="2309"/>
    <x v="0"/>
  </r>
  <r>
    <x v="9"/>
    <x v="99"/>
    <s v="8940"/>
    <s v="Seest Sogn"/>
    <x v="2310"/>
    <x v="0"/>
  </r>
  <r>
    <x v="9"/>
    <x v="99"/>
    <s v="8941"/>
    <s v="Hjarup Sogn"/>
    <x v="2311"/>
    <x v="0"/>
  </r>
  <r>
    <x v="9"/>
    <x v="99"/>
    <s v="8981"/>
    <s v="Aller Sogn"/>
    <x v="2312"/>
    <x v="0"/>
  </r>
  <r>
    <x v="9"/>
    <x v="99"/>
    <s v="8983"/>
    <s v="Stepping Sogn"/>
    <x v="2313"/>
    <x v="0"/>
  </r>
  <r>
    <x v="9"/>
    <x v="99"/>
    <s v="8984"/>
    <s v="Frørup Sogn"/>
    <x v="1026"/>
    <x v="0"/>
  </r>
  <r>
    <x v="9"/>
    <x v="99"/>
    <s v="8985"/>
    <s v="Tyrstrup Sogn"/>
    <x v="2314"/>
    <x v="0"/>
  </r>
  <r>
    <x v="9"/>
    <x v="99"/>
    <s v="9067"/>
    <s v="Vamdrup Sogn"/>
    <x v="2315"/>
    <x v="0"/>
  </r>
  <r>
    <x v="9"/>
    <x v="99"/>
    <s v="9116"/>
    <s v="Simon Peters Sogn"/>
    <x v="2316"/>
    <x v="0"/>
  </r>
  <r>
    <x v="9"/>
    <x v="99"/>
    <s v="9116"/>
    <s v="Simon Peters Sogn"/>
    <x v="2317"/>
    <x v="0"/>
  </r>
  <r>
    <x v="9"/>
    <x v="99"/>
    <s v="9116"/>
    <s v="Simon Peters Sogn"/>
    <x v="2318"/>
    <x v="0"/>
  </r>
  <r>
    <x v="9"/>
    <x v="99"/>
    <s v="9116"/>
    <s v="Simon Peters Sogn"/>
    <x v="95"/>
    <x v="0"/>
  </r>
  <r>
    <x v="9"/>
    <x v="100"/>
    <s v="7894"/>
    <s v="Vor Frelsers Sogn"/>
    <x v="86"/>
    <x v="0"/>
  </r>
  <r>
    <x v="9"/>
    <x v="100"/>
    <s v="7894"/>
    <s v="Vor Frelsers Sogn"/>
    <x v="2319"/>
    <x v="0"/>
  </r>
  <r>
    <x v="9"/>
    <x v="100"/>
    <s v="7894"/>
    <s v="Vor Frelsers Sogn"/>
    <x v="2317"/>
    <x v="2"/>
  </r>
  <r>
    <x v="9"/>
    <x v="100"/>
    <s v="7895"/>
    <s v="Sankt Johannes Sogn"/>
    <x v="10"/>
    <x v="0"/>
  </r>
  <r>
    <x v="9"/>
    <x v="100"/>
    <s v="7896"/>
    <s v="Hornstrup Sogn"/>
    <x v="2320"/>
    <x v="0"/>
  </r>
  <r>
    <x v="9"/>
    <x v="100"/>
    <s v="7898"/>
    <s v="Grejs Sogn"/>
    <x v="2321"/>
    <x v="0"/>
  </r>
  <r>
    <x v="9"/>
    <x v="100"/>
    <s v="7903"/>
    <s v="Bredsten Sogn"/>
    <x v="2322"/>
    <x v="0"/>
  </r>
  <r>
    <x v="9"/>
    <x v="100"/>
    <s v="7903"/>
    <s v="Bredsten Sogn"/>
    <x v="2323"/>
    <x v="0"/>
  </r>
  <r>
    <x v="9"/>
    <x v="100"/>
    <s v="7904"/>
    <s v="Skibet Sogn"/>
    <x v="2324"/>
    <x v="0"/>
  </r>
  <r>
    <x v="9"/>
    <x v="100"/>
    <s v="7905"/>
    <s v="Jelling Sogn"/>
    <x v="2325"/>
    <x v="0"/>
  </r>
  <r>
    <x v="9"/>
    <x v="100"/>
    <s v="7906"/>
    <s v="Hover Sogn"/>
    <x v="2326"/>
    <x v="1"/>
  </r>
  <r>
    <x v="9"/>
    <x v="100"/>
    <s v="7906"/>
    <s v="Hover Sogn"/>
    <x v="2133"/>
    <x v="0"/>
  </r>
  <r>
    <x v="9"/>
    <x v="100"/>
    <s v="7907"/>
    <s v="Kollerup Sogn"/>
    <x v="1216"/>
    <x v="0"/>
  </r>
  <r>
    <x v="9"/>
    <x v="100"/>
    <s v="7908"/>
    <s v="Vindelev Sogn"/>
    <x v="2327"/>
    <x v="0"/>
  </r>
  <r>
    <x v="9"/>
    <x v="100"/>
    <s v="7916"/>
    <s v="Gauerslund Sogn"/>
    <x v="2328"/>
    <x v="0"/>
  </r>
  <r>
    <x v="9"/>
    <x v="100"/>
    <s v="7916"/>
    <s v="Gauerslund Sogn"/>
    <x v="2093"/>
    <x v="1"/>
  </r>
  <r>
    <x v="9"/>
    <x v="100"/>
    <s v="7917"/>
    <s v="Vinding Sogn"/>
    <x v="1517"/>
    <x v="0"/>
  </r>
  <r>
    <x v="9"/>
    <x v="100"/>
    <s v="7918"/>
    <s v="Skærup Sogn"/>
    <x v="2329"/>
    <x v="0"/>
  </r>
  <r>
    <x v="9"/>
    <x v="100"/>
    <s v="7919"/>
    <s v="Mølholm Sogn"/>
    <x v="2330"/>
    <x v="0"/>
  </r>
  <r>
    <x v="9"/>
    <x v="100"/>
    <s v="7920"/>
    <s v="Smidstrup Sogn"/>
    <x v="2331"/>
    <x v="0"/>
  </r>
  <r>
    <x v="9"/>
    <x v="100"/>
    <s v="7922"/>
    <s v="Gårslev Sogn"/>
    <x v="2332"/>
    <x v="0"/>
  </r>
  <r>
    <x v="9"/>
    <x v="100"/>
    <s v="7923"/>
    <s v="Højen Sogn"/>
    <x v="2333"/>
    <x v="0"/>
  </r>
  <r>
    <x v="9"/>
    <x v="100"/>
    <s v="7924"/>
    <s v="Jerlev Sogn"/>
    <x v="2334"/>
    <x v="0"/>
  </r>
  <r>
    <x v="9"/>
    <x v="100"/>
    <s v="7925"/>
    <s v="Egtved Sogn"/>
    <x v="2335"/>
    <x v="0"/>
  </r>
  <r>
    <x v="9"/>
    <x v="100"/>
    <s v="7925"/>
    <s v="Egtved Sogn"/>
    <x v="2336"/>
    <x v="0"/>
  </r>
  <r>
    <x v="9"/>
    <x v="100"/>
    <s v="7926"/>
    <s v="Ødsted Sogn"/>
    <x v="2337"/>
    <x v="0"/>
  </r>
  <r>
    <x v="9"/>
    <x v="100"/>
    <s v="7938"/>
    <s v="Øster Starup Sogn"/>
    <x v="2338"/>
    <x v="0"/>
  </r>
  <r>
    <x v="9"/>
    <x v="100"/>
    <s v="7938"/>
    <s v="Øster Starup Sogn"/>
    <x v="2339"/>
    <x v="0"/>
  </r>
  <r>
    <x v="9"/>
    <x v="100"/>
    <s v="7973"/>
    <s v="Engum Sogn"/>
    <x v="2340"/>
    <x v="0"/>
  </r>
  <r>
    <x v="9"/>
    <x v="100"/>
    <s v="9092"/>
    <s v="Nørremarks Sogn"/>
    <x v="2341"/>
    <x v="0"/>
  </r>
  <r>
    <x v="9"/>
    <x v="100"/>
    <s v="9092"/>
    <s v="Nørremarks Sogn"/>
    <x v="2342"/>
    <x v="0"/>
  </r>
  <r>
    <x v="9"/>
    <x v="100"/>
    <s v="9100"/>
    <s v="Bredballe Sogn"/>
    <x v="2343"/>
    <x v="0"/>
  </r>
  <r>
    <x v="9"/>
    <x v="100"/>
    <s v="9100"/>
    <s v="Bredballe Sogn"/>
    <x v="2344"/>
    <x v="2"/>
  </r>
  <r>
    <x v="9"/>
    <x v="100"/>
    <s v="9188"/>
    <s v="Hvejsel Sogn"/>
    <x v="2345"/>
    <x v="0"/>
  </r>
  <r>
    <x v="9"/>
    <x v="100"/>
    <s v="9188"/>
    <s v="Hvejsel Sogn"/>
    <x v="2346"/>
    <x v="0"/>
  </r>
  <r>
    <x v="9"/>
    <x v="100"/>
    <s v="9349"/>
    <s v="Sankt Nicolai Sogn"/>
    <x v="30"/>
    <x v="0"/>
  </r>
  <r>
    <x v="9"/>
    <x v="100"/>
    <s v="9350"/>
    <s v="Vejle Søndre Sogn"/>
    <x v="1402"/>
    <x v="0"/>
  </r>
  <r>
    <x v="9"/>
    <x v="100"/>
    <s v="9350"/>
    <s v="Vejle Søndre Sogn"/>
    <x v="2347"/>
    <x v="0"/>
  </r>
  <r>
    <x v="9"/>
    <x v="101"/>
    <s v="7897"/>
    <s v="Øster Snede Sogn"/>
    <x v="2348"/>
    <x v="0"/>
  </r>
  <r>
    <x v="9"/>
    <x v="101"/>
    <s v="7899"/>
    <s v="Sindbjerg Sogn"/>
    <x v="2349"/>
    <x v="0"/>
  </r>
  <r>
    <x v="9"/>
    <x v="101"/>
    <s v="7900"/>
    <s v="Uldum Sogn"/>
    <x v="2350"/>
    <x v="0"/>
  </r>
  <r>
    <x v="9"/>
    <x v="101"/>
    <s v="7901"/>
    <s v="Langskov Sogn"/>
    <x v="2351"/>
    <x v="0"/>
  </r>
  <r>
    <x v="9"/>
    <x v="101"/>
    <s v="7948"/>
    <s v="Nebsager Sogn"/>
    <x v="2352"/>
    <x v="0"/>
  </r>
  <r>
    <x v="9"/>
    <x v="101"/>
    <s v="7949"/>
    <s v="Bjerre Sogn"/>
    <x v="2353"/>
    <x v="0"/>
  </r>
  <r>
    <x v="9"/>
    <x v="101"/>
    <s v="7950"/>
    <s v="Urlev Sogn"/>
    <x v="2354"/>
    <x v="0"/>
  </r>
  <r>
    <x v="9"/>
    <x v="101"/>
    <s v="7951"/>
    <s v="Stenderup Sogn"/>
    <x v="2040"/>
    <x v="0"/>
  </r>
  <r>
    <x v="9"/>
    <x v="101"/>
    <s v="7952"/>
    <s v="Ørum Sogn"/>
    <x v="1128"/>
    <x v="0"/>
  </r>
  <r>
    <x v="9"/>
    <x v="101"/>
    <s v="7953"/>
    <s v="Daugård Sogn"/>
    <x v="2355"/>
    <x v="0"/>
  </r>
  <r>
    <x v="9"/>
    <x v="101"/>
    <s v="7954"/>
    <s v="Stouby Sogn"/>
    <x v="2356"/>
    <x v="0"/>
  </r>
  <r>
    <x v="9"/>
    <x v="101"/>
    <s v="7955"/>
    <s v="Hornum Sogn"/>
    <x v="2357"/>
    <x v="0"/>
  </r>
  <r>
    <x v="9"/>
    <x v="101"/>
    <s v="7956"/>
    <s v="Barrit Sogn"/>
    <x v="2358"/>
    <x v="0"/>
  </r>
  <r>
    <x v="9"/>
    <x v="101"/>
    <s v="7957"/>
    <s v="Vrigsted Sogn"/>
    <x v="2359"/>
    <x v="0"/>
  </r>
  <r>
    <x v="9"/>
    <x v="101"/>
    <s v="7958"/>
    <s v="As Sogn"/>
    <x v="2360"/>
    <x v="0"/>
  </r>
  <r>
    <x v="9"/>
    <x v="101"/>
    <s v="7959"/>
    <s v="Klakring Sogn"/>
    <x v="2361"/>
    <x v="0"/>
  </r>
  <r>
    <x v="9"/>
    <x v="101"/>
    <s v="7960"/>
    <s v="Rårup Sogn"/>
    <x v="2362"/>
    <x v="3"/>
  </r>
  <r>
    <x v="9"/>
    <x v="101"/>
    <s v="7960"/>
    <s v="Rårup Sogn"/>
    <x v="2363"/>
    <x v="0"/>
  </r>
  <r>
    <x v="9"/>
    <x v="101"/>
    <s v="7961"/>
    <s v="Skjold Sogn"/>
    <x v="2364"/>
    <x v="0"/>
  </r>
  <r>
    <x v="9"/>
    <x v="101"/>
    <s v="7962"/>
    <s v="Glud Sogn"/>
    <x v="2365"/>
    <x v="0"/>
  </r>
  <r>
    <x v="9"/>
    <x v="101"/>
    <s v="7963"/>
    <s v="Hjarnø Sogn"/>
    <x v="2366"/>
    <x v="0"/>
  </r>
  <r>
    <x v="9"/>
    <x v="101"/>
    <s v="7965"/>
    <s v="Ølsted Sogn"/>
    <x v="257"/>
    <x v="0"/>
  </r>
  <r>
    <x v="9"/>
    <x v="101"/>
    <s v="7969"/>
    <s v="Løsning Sogn"/>
    <x v="2367"/>
    <x v="0"/>
  </r>
  <r>
    <x v="9"/>
    <x v="101"/>
    <s v="7969"/>
    <s v="Løsning Sogn"/>
    <x v="2368"/>
    <x v="0"/>
  </r>
  <r>
    <x v="9"/>
    <x v="101"/>
    <s v="7970"/>
    <s v="Korning Sogn"/>
    <x v="2369"/>
    <x v="0"/>
  </r>
  <r>
    <x v="9"/>
    <x v="101"/>
    <s v="7971"/>
    <s v="Hedensted Sogn"/>
    <x v="2370"/>
    <x v="0"/>
  </r>
  <r>
    <x v="9"/>
    <x v="101"/>
    <s v="7971"/>
    <s v="Hedensted Sogn"/>
    <x v="2371"/>
    <x v="0"/>
  </r>
  <r>
    <x v="9"/>
    <x v="101"/>
    <s v="7972"/>
    <s v="Store Dalby Sogn"/>
    <x v="2372"/>
    <x v="0"/>
  </r>
  <r>
    <x v="9"/>
    <x v="101"/>
    <s v="8001"/>
    <s v="Aale Sogn"/>
    <x v="2373"/>
    <x v="0"/>
  </r>
  <r>
    <x v="9"/>
    <x v="101"/>
    <s v="8002"/>
    <s v="Linnerup Sogn"/>
    <x v="2374"/>
    <x v="0"/>
  </r>
  <r>
    <x v="9"/>
    <x v="101"/>
    <s v="8003"/>
    <s v="Tørring Sogn"/>
    <x v="2375"/>
    <x v="0"/>
  </r>
  <r>
    <x v="9"/>
    <x v="101"/>
    <s v="8003"/>
    <s v="Tørring Sogn"/>
    <x v="1586"/>
    <x v="0"/>
  </r>
  <r>
    <x v="9"/>
    <x v="101"/>
    <s v="8004"/>
    <s v="Hammer Sogn"/>
    <x v="606"/>
    <x v="0"/>
  </r>
  <r>
    <x v="9"/>
    <x v="101"/>
    <s v="8057"/>
    <s v="Hvirring Sogn"/>
    <x v="2376"/>
    <x v="0"/>
  </r>
  <r>
    <x v="9"/>
    <x v="101"/>
    <s v="8058"/>
    <s v="Hornborg Sogn"/>
    <x v="2377"/>
    <x v="0"/>
  </r>
  <r>
    <x v="9"/>
    <x v="101"/>
    <s v="9112"/>
    <s v="Juelsminde Sogn"/>
    <x v="2378"/>
    <x v="0"/>
  </r>
  <r>
    <x v="9"/>
    <x v="101"/>
    <s v="9262"/>
    <s v="Klejs Sogn"/>
    <x v="2379"/>
    <x v="0"/>
  </r>
  <r>
    <x v="10"/>
    <x v="102"/>
    <m/>
    <m/>
    <x v="238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0EE7C-C351-40AD-8209-7C7E1183BF96}" name="Pivottabel3" cacheId="2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rowHeaderCaption="Stift/Provsti">
  <location ref="A1:B116" firstHeaderRow="1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04">
        <item x="30"/>
        <item x="31"/>
        <item x="0"/>
        <item x="17"/>
        <item x="32"/>
        <item x="1"/>
        <item x="33"/>
        <item x="74"/>
        <item x="39"/>
        <item x="88"/>
        <item x="18"/>
        <item x="10"/>
        <item x="34"/>
        <item x="75"/>
        <item x="19"/>
        <item x="20"/>
        <item x="2"/>
        <item x="21"/>
        <item x="22"/>
        <item x="23"/>
        <item x="43"/>
        <item x="51"/>
        <item x="11"/>
        <item x="76"/>
        <item x="12"/>
        <item x="24"/>
        <item x="63"/>
        <item x="64"/>
        <item x="25"/>
        <item x="3"/>
        <item x="77"/>
        <item x="78"/>
        <item x="89"/>
        <item x="52"/>
        <item x="35"/>
        <item x="65"/>
        <item x="90"/>
        <item x="26"/>
        <item x="66"/>
        <item x="79"/>
        <item x="53"/>
        <item x="4"/>
        <item x="13"/>
        <item x="27"/>
        <item x="54"/>
        <item x="5"/>
        <item x="55"/>
        <item x="67"/>
        <item x="40"/>
        <item x="41"/>
        <item x="44"/>
        <item x="42"/>
        <item x="6"/>
        <item x="7"/>
        <item x="80"/>
        <item x="91"/>
        <item x="56"/>
        <item x="36"/>
        <item x="92"/>
        <item x="8"/>
        <item x="57"/>
        <item x="93"/>
        <item x="94"/>
        <item x="81"/>
        <item x="45"/>
        <item x="46"/>
        <item x="58"/>
        <item x="59"/>
        <item x="28"/>
        <item x="29"/>
        <item x="68"/>
        <item x="95"/>
        <item x="47"/>
        <item x="96"/>
        <item x="69"/>
        <item x="48"/>
        <item x="60"/>
        <item x="61"/>
        <item x="70"/>
        <item x="9"/>
        <item x="97"/>
        <item x="82"/>
        <item x="14"/>
        <item x="83"/>
        <item x="62"/>
        <item x="49"/>
        <item x="37"/>
        <item x="50"/>
        <item x="15"/>
        <item x="71"/>
        <item x="72"/>
        <item x="73"/>
        <item x="38"/>
        <item x="16"/>
        <item x="84"/>
        <item x="85"/>
        <item x="86"/>
        <item x="87"/>
        <item x="98"/>
        <item x="99"/>
        <item x="100"/>
        <item x="101"/>
        <item x="102"/>
        <item t="default"/>
      </items>
    </pivotField>
    <pivotField dataField="1" showAll="0"/>
  </pivotFields>
  <rowFields count="2">
    <field x="0"/>
    <field x="1"/>
  </rowFields>
  <rowItems count="115">
    <i>
      <x/>
    </i>
    <i r="1">
      <x v="2"/>
    </i>
    <i r="1">
      <x v="5"/>
    </i>
    <i r="1">
      <x v="16"/>
    </i>
    <i r="1">
      <x v="29"/>
    </i>
    <i r="1">
      <x v="41"/>
    </i>
    <i r="1">
      <x v="45"/>
    </i>
    <i r="1">
      <x v="52"/>
    </i>
    <i r="1">
      <x v="53"/>
    </i>
    <i r="1">
      <x v="59"/>
    </i>
    <i r="1">
      <x v="79"/>
    </i>
    <i>
      <x v="1"/>
    </i>
    <i r="1">
      <x v="11"/>
    </i>
    <i r="1">
      <x v="22"/>
    </i>
    <i r="1">
      <x v="24"/>
    </i>
    <i r="1">
      <x v="42"/>
    </i>
    <i r="1">
      <x v="82"/>
    </i>
    <i r="1">
      <x v="88"/>
    </i>
    <i r="1">
      <x v="93"/>
    </i>
    <i>
      <x v="2"/>
    </i>
    <i r="1">
      <x v="3"/>
    </i>
    <i r="1">
      <x v="10"/>
    </i>
    <i r="1">
      <x v="14"/>
    </i>
    <i r="1">
      <x v="15"/>
    </i>
    <i r="1">
      <x v="17"/>
    </i>
    <i r="1">
      <x v="18"/>
    </i>
    <i r="1">
      <x v="19"/>
    </i>
    <i r="1">
      <x v="25"/>
    </i>
    <i r="1">
      <x v="28"/>
    </i>
    <i r="1">
      <x v="37"/>
    </i>
    <i r="1">
      <x v="43"/>
    </i>
    <i r="1">
      <x v="68"/>
    </i>
    <i r="1">
      <x v="69"/>
    </i>
    <i>
      <x v="3"/>
    </i>
    <i r="1">
      <x/>
    </i>
    <i r="1">
      <x v="1"/>
    </i>
    <i r="1">
      <x v="4"/>
    </i>
    <i r="1">
      <x v="6"/>
    </i>
    <i r="1">
      <x v="12"/>
    </i>
    <i r="1">
      <x v="34"/>
    </i>
    <i r="1">
      <x v="57"/>
    </i>
    <i r="1">
      <x v="86"/>
    </i>
    <i r="1">
      <x v="92"/>
    </i>
    <i>
      <x v="4"/>
    </i>
    <i r="1">
      <x v="8"/>
    </i>
    <i r="1">
      <x v="48"/>
    </i>
    <i r="1">
      <x v="49"/>
    </i>
    <i r="1">
      <x v="51"/>
    </i>
    <i>
      <x v="5"/>
    </i>
    <i r="1">
      <x v="20"/>
    </i>
    <i r="1">
      <x v="50"/>
    </i>
    <i r="1">
      <x v="64"/>
    </i>
    <i r="1">
      <x v="65"/>
    </i>
    <i r="1">
      <x v="72"/>
    </i>
    <i r="1">
      <x v="75"/>
    </i>
    <i r="1">
      <x v="85"/>
    </i>
    <i r="1">
      <x v="87"/>
    </i>
    <i>
      <x v="6"/>
    </i>
    <i r="1">
      <x v="21"/>
    </i>
    <i r="1">
      <x v="33"/>
    </i>
    <i r="1">
      <x v="40"/>
    </i>
    <i r="1">
      <x v="44"/>
    </i>
    <i r="1">
      <x v="46"/>
    </i>
    <i r="1">
      <x v="56"/>
    </i>
    <i r="1">
      <x v="60"/>
    </i>
    <i r="1">
      <x v="66"/>
    </i>
    <i r="1">
      <x v="67"/>
    </i>
    <i r="1">
      <x v="76"/>
    </i>
    <i r="1">
      <x v="77"/>
    </i>
    <i r="1">
      <x v="84"/>
    </i>
    <i>
      <x v="7"/>
    </i>
    <i r="1">
      <x v="26"/>
    </i>
    <i r="1">
      <x v="27"/>
    </i>
    <i r="1">
      <x v="35"/>
    </i>
    <i r="1">
      <x v="38"/>
    </i>
    <i r="1">
      <x v="47"/>
    </i>
    <i r="1">
      <x v="70"/>
    </i>
    <i r="1">
      <x v="74"/>
    </i>
    <i r="1">
      <x v="78"/>
    </i>
    <i r="1">
      <x v="89"/>
    </i>
    <i r="1">
      <x v="90"/>
    </i>
    <i r="1">
      <x v="91"/>
    </i>
    <i>
      <x v="8"/>
    </i>
    <i r="1">
      <x v="7"/>
    </i>
    <i r="1">
      <x v="13"/>
    </i>
    <i r="1">
      <x v="23"/>
    </i>
    <i r="1">
      <x v="30"/>
    </i>
    <i r="1">
      <x v="31"/>
    </i>
    <i r="1">
      <x v="39"/>
    </i>
    <i r="1">
      <x v="54"/>
    </i>
    <i r="1">
      <x v="63"/>
    </i>
    <i r="1">
      <x v="81"/>
    </i>
    <i r="1">
      <x v="83"/>
    </i>
    <i r="1">
      <x v="94"/>
    </i>
    <i r="1">
      <x v="95"/>
    </i>
    <i r="1">
      <x v="96"/>
    </i>
    <i r="1">
      <x v="97"/>
    </i>
    <i>
      <x v="9"/>
    </i>
    <i r="1">
      <x v="9"/>
    </i>
    <i r="1">
      <x v="32"/>
    </i>
    <i r="1">
      <x v="36"/>
    </i>
    <i r="1">
      <x v="55"/>
    </i>
    <i r="1">
      <x v="58"/>
    </i>
    <i r="1">
      <x v="61"/>
    </i>
    <i r="1">
      <x v="62"/>
    </i>
    <i r="1">
      <x v="71"/>
    </i>
    <i r="1">
      <x v="73"/>
    </i>
    <i r="1">
      <x v="80"/>
    </i>
    <i r="1">
      <x v="98"/>
    </i>
    <i r="1">
      <x v="99"/>
    </i>
    <i r="1">
      <x v="100"/>
    </i>
    <i r="1">
      <x v="101"/>
    </i>
    <i>
      <x v="10"/>
    </i>
    <i r="1">
      <x v="102"/>
    </i>
    <i t="grand">
      <x/>
    </i>
  </rowItems>
  <colItems count="1">
    <i/>
  </colItems>
  <dataFields count="1">
    <dataField name="Antal Pastorat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1A4F6-2136-4638-851A-2291CFEBCE86}" name="Pivottabel2" cacheId="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rowHeaderCaption="Stift/Provsti">
  <location ref="A1:B114" firstHeaderRow="1" firstDataRow="1" firstDataCol="1"/>
  <pivotFields count="3">
    <pivotField axis="axisRow" showAll="0">
      <items count="12">
        <item x="4"/>
        <item x="5"/>
        <item x="1"/>
        <item x="0"/>
        <item x="3"/>
        <item x="8"/>
        <item x="2"/>
        <item x="7"/>
        <item x="9"/>
        <item x="6"/>
        <item h="1" x="10"/>
        <item t="default"/>
      </items>
    </pivotField>
    <pivotField axis="axisRow" showAll="0">
      <items count="104">
        <item x="5"/>
        <item x="18"/>
        <item x="45"/>
        <item x="14"/>
        <item x="4"/>
        <item x="47"/>
        <item x="33"/>
        <item x="76"/>
        <item x="34"/>
        <item x="57"/>
        <item x="31"/>
        <item x="50"/>
        <item x="6"/>
        <item x="79"/>
        <item x="17"/>
        <item x="28"/>
        <item x="41"/>
        <item x="7"/>
        <item x="10"/>
        <item x="12"/>
        <item x="54"/>
        <item x="19"/>
        <item x="98"/>
        <item x="71"/>
        <item x="49"/>
        <item x="30"/>
        <item x="90"/>
        <item x="92"/>
        <item x="29"/>
        <item x="44"/>
        <item x="78"/>
        <item x="77"/>
        <item x="64"/>
        <item x="24"/>
        <item x="3"/>
        <item x="89"/>
        <item x="52"/>
        <item x="13"/>
        <item x="53"/>
        <item x="75"/>
        <item x="21"/>
        <item x="42"/>
        <item x="51"/>
        <item x="8"/>
        <item x="20"/>
        <item x="40"/>
        <item x="16"/>
        <item x="94"/>
        <item x="36"/>
        <item x="35"/>
        <item x="96"/>
        <item x="37"/>
        <item x="46"/>
        <item x="39"/>
        <item x="86"/>
        <item x="66"/>
        <item x="26"/>
        <item x="1"/>
        <item x="61"/>
        <item x="43"/>
        <item x="25"/>
        <item x="65"/>
        <item x="63"/>
        <item x="70"/>
        <item x="95"/>
        <item x="88"/>
        <item x="22"/>
        <item x="15"/>
        <item x="9"/>
        <item x="11"/>
        <item x="83"/>
        <item x="56"/>
        <item x="97"/>
        <item x="55"/>
        <item x="82"/>
        <item x="91"/>
        <item x="23"/>
        <item x="32"/>
        <item x="93"/>
        <item x="38"/>
        <item x="67"/>
        <item x="85"/>
        <item x="100"/>
        <item x="84"/>
        <item x="27"/>
        <item x="99"/>
        <item x="2"/>
        <item x="87"/>
        <item x="48"/>
        <item x="68"/>
        <item x="81"/>
        <item x="80"/>
        <item x="0"/>
        <item x="101"/>
        <item x="73"/>
        <item x="74"/>
        <item x="69"/>
        <item x="72"/>
        <item x="62"/>
        <item x="60"/>
        <item x="58"/>
        <item x="59"/>
        <item x="102"/>
        <item t="default"/>
      </items>
    </pivotField>
    <pivotField dataField="1" showAll="0"/>
  </pivotFields>
  <rowFields count="2">
    <field x="0"/>
    <field x="1"/>
  </rowFields>
  <rowItems count="113">
    <i>
      <x/>
    </i>
    <i r="1">
      <x v="2"/>
    </i>
    <i r="1">
      <x v="5"/>
    </i>
    <i r="1">
      <x v="16"/>
    </i>
    <i r="1">
      <x v="29"/>
    </i>
    <i r="1">
      <x v="41"/>
    </i>
    <i r="1">
      <x v="45"/>
    </i>
    <i r="1">
      <x v="52"/>
    </i>
    <i r="1">
      <x v="53"/>
    </i>
    <i r="1">
      <x v="59"/>
    </i>
    <i r="1">
      <x v="79"/>
    </i>
    <i>
      <x v="1"/>
    </i>
    <i r="1">
      <x v="11"/>
    </i>
    <i r="1">
      <x v="22"/>
    </i>
    <i r="1">
      <x v="24"/>
    </i>
    <i r="1">
      <x v="42"/>
    </i>
    <i r="1">
      <x v="82"/>
    </i>
    <i r="1">
      <x v="88"/>
    </i>
    <i r="1">
      <x v="93"/>
    </i>
    <i>
      <x v="2"/>
    </i>
    <i r="1">
      <x v="3"/>
    </i>
    <i r="1">
      <x v="10"/>
    </i>
    <i r="1">
      <x v="14"/>
    </i>
    <i r="1">
      <x v="15"/>
    </i>
    <i r="1">
      <x v="17"/>
    </i>
    <i r="1">
      <x v="18"/>
    </i>
    <i r="1">
      <x v="19"/>
    </i>
    <i r="1">
      <x v="25"/>
    </i>
    <i r="1">
      <x v="28"/>
    </i>
    <i r="1">
      <x v="37"/>
    </i>
    <i r="1">
      <x v="43"/>
    </i>
    <i r="1">
      <x v="68"/>
    </i>
    <i r="1">
      <x v="69"/>
    </i>
    <i>
      <x v="3"/>
    </i>
    <i r="1">
      <x/>
    </i>
    <i r="1">
      <x v="1"/>
    </i>
    <i r="1">
      <x v="4"/>
    </i>
    <i r="1">
      <x v="6"/>
    </i>
    <i r="1">
      <x v="12"/>
    </i>
    <i r="1">
      <x v="34"/>
    </i>
    <i r="1">
      <x v="57"/>
    </i>
    <i r="1">
      <x v="86"/>
    </i>
    <i r="1">
      <x v="92"/>
    </i>
    <i>
      <x v="4"/>
    </i>
    <i r="1">
      <x v="8"/>
    </i>
    <i r="1">
      <x v="48"/>
    </i>
    <i r="1">
      <x v="49"/>
    </i>
    <i r="1">
      <x v="51"/>
    </i>
    <i>
      <x v="5"/>
    </i>
    <i r="1">
      <x v="20"/>
    </i>
    <i r="1">
      <x v="50"/>
    </i>
    <i r="1">
      <x v="64"/>
    </i>
    <i r="1">
      <x v="65"/>
    </i>
    <i r="1">
      <x v="72"/>
    </i>
    <i r="1">
      <x v="75"/>
    </i>
    <i r="1">
      <x v="85"/>
    </i>
    <i r="1">
      <x v="87"/>
    </i>
    <i>
      <x v="6"/>
    </i>
    <i r="1">
      <x v="21"/>
    </i>
    <i r="1">
      <x v="33"/>
    </i>
    <i r="1">
      <x v="40"/>
    </i>
    <i r="1">
      <x v="44"/>
    </i>
    <i r="1">
      <x v="46"/>
    </i>
    <i r="1">
      <x v="56"/>
    </i>
    <i r="1">
      <x v="60"/>
    </i>
    <i r="1">
      <x v="66"/>
    </i>
    <i r="1">
      <x v="67"/>
    </i>
    <i r="1">
      <x v="76"/>
    </i>
    <i r="1">
      <x v="77"/>
    </i>
    <i r="1">
      <x v="84"/>
    </i>
    <i>
      <x v="7"/>
    </i>
    <i r="1">
      <x v="26"/>
    </i>
    <i r="1">
      <x v="27"/>
    </i>
    <i r="1">
      <x v="35"/>
    </i>
    <i r="1">
      <x v="38"/>
    </i>
    <i r="1">
      <x v="47"/>
    </i>
    <i r="1">
      <x v="70"/>
    </i>
    <i r="1">
      <x v="74"/>
    </i>
    <i r="1">
      <x v="78"/>
    </i>
    <i r="1">
      <x v="89"/>
    </i>
    <i r="1">
      <x v="90"/>
    </i>
    <i r="1">
      <x v="91"/>
    </i>
    <i>
      <x v="8"/>
    </i>
    <i r="1">
      <x v="7"/>
    </i>
    <i r="1">
      <x v="13"/>
    </i>
    <i r="1">
      <x v="23"/>
    </i>
    <i r="1">
      <x v="30"/>
    </i>
    <i r="1">
      <x v="31"/>
    </i>
    <i r="1">
      <x v="39"/>
    </i>
    <i r="1">
      <x v="54"/>
    </i>
    <i r="1">
      <x v="63"/>
    </i>
    <i r="1">
      <x v="81"/>
    </i>
    <i r="1">
      <x v="83"/>
    </i>
    <i r="1">
      <x v="94"/>
    </i>
    <i r="1">
      <x v="95"/>
    </i>
    <i r="1">
      <x v="96"/>
    </i>
    <i r="1">
      <x v="97"/>
    </i>
    <i>
      <x v="9"/>
    </i>
    <i r="1">
      <x v="9"/>
    </i>
    <i r="1">
      <x v="32"/>
    </i>
    <i r="1">
      <x v="36"/>
    </i>
    <i r="1">
      <x v="55"/>
    </i>
    <i r="1">
      <x v="58"/>
    </i>
    <i r="1">
      <x v="61"/>
    </i>
    <i r="1">
      <x v="62"/>
    </i>
    <i r="1">
      <x v="71"/>
    </i>
    <i r="1">
      <x v="73"/>
    </i>
    <i r="1">
      <x v="80"/>
    </i>
    <i r="1">
      <x v="98"/>
    </i>
    <i r="1">
      <x v="99"/>
    </i>
    <i r="1">
      <x v="100"/>
    </i>
    <i r="1">
      <x v="101"/>
    </i>
    <i t="grand">
      <x/>
    </i>
  </rowItems>
  <colItems count="1">
    <i/>
  </colItems>
  <dataFields count="1">
    <dataField name="Antal menighedsråd" fld="2" subtotal="count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9B5C-6740-4599-9492-693493EF77C8}" name="Pivottabel1" cacheId="0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rowHeaderCaption="Stift/Provsti">
  <location ref="A1:B116" firstHeaderRow="1" firstDataRow="1" firstDataCol="1"/>
  <pivotFields count="6">
    <pivotField axis="axisRow" showAll="0">
      <items count="12">
        <item x="4"/>
        <item x="9"/>
        <item x="1"/>
        <item x="0"/>
        <item x="3"/>
        <item x="8"/>
        <item x="2"/>
        <item x="6"/>
        <item x="5"/>
        <item x="7"/>
        <item x="10"/>
        <item t="default"/>
      </items>
    </pivotField>
    <pivotField axis="axisRow" showAll="0">
      <items count="104">
        <item x="5"/>
        <item x="6"/>
        <item x="40"/>
        <item x="17"/>
        <item x="3"/>
        <item x="39"/>
        <item x="2"/>
        <item x="52"/>
        <item x="37"/>
        <item x="82"/>
        <item x="13"/>
        <item x="98"/>
        <item x="1"/>
        <item x="54"/>
        <item x="14"/>
        <item x="15"/>
        <item x="43"/>
        <item x="10"/>
        <item x="9"/>
        <item x="11"/>
        <item x="93"/>
        <item x="32"/>
        <item x="95"/>
        <item x="51"/>
        <item x="101"/>
        <item x="12"/>
        <item x="67"/>
        <item x="69"/>
        <item x="19"/>
        <item x="44"/>
        <item x="53"/>
        <item x="60"/>
        <item x="79"/>
        <item x="26"/>
        <item x="8"/>
        <item x="68"/>
        <item x="76"/>
        <item x="20"/>
        <item x="71"/>
        <item x="55"/>
        <item x="25"/>
        <item x="47"/>
        <item x="99"/>
        <item x="18"/>
        <item x="24"/>
        <item x="46"/>
        <item x="23"/>
        <item x="70"/>
        <item x="34"/>
        <item x="36"/>
        <item x="88"/>
        <item x="35"/>
        <item x="41"/>
        <item x="45"/>
        <item x="58"/>
        <item x="81"/>
        <item x="30"/>
        <item x="0"/>
        <item x="74"/>
        <item x="38"/>
        <item x="27"/>
        <item x="85"/>
        <item x="78"/>
        <item x="61"/>
        <item x="87"/>
        <item x="92"/>
        <item x="28"/>
        <item x="22"/>
        <item x="21"/>
        <item x="16"/>
        <item x="64"/>
        <item x="77"/>
        <item x="90"/>
        <item x="75"/>
        <item x="65"/>
        <item x="91"/>
        <item x="33"/>
        <item x="31"/>
        <item x="72"/>
        <item x="42"/>
        <item x="80"/>
        <item x="57"/>
        <item x="97"/>
        <item x="56"/>
        <item x="29"/>
        <item x="94"/>
        <item x="4"/>
        <item x="89"/>
        <item x="100"/>
        <item x="66"/>
        <item x="62"/>
        <item x="63"/>
        <item x="7"/>
        <item x="96"/>
        <item x="48"/>
        <item x="49"/>
        <item x="50"/>
        <item x="59"/>
        <item x="73"/>
        <item x="83"/>
        <item x="84"/>
        <item x="86"/>
        <item x="102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115">
    <i>
      <x/>
    </i>
    <i r="1">
      <x v="2"/>
    </i>
    <i r="1">
      <x v="5"/>
    </i>
    <i r="1">
      <x v="16"/>
    </i>
    <i r="1">
      <x v="29"/>
    </i>
    <i r="1">
      <x v="41"/>
    </i>
    <i r="1">
      <x v="45"/>
    </i>
    <i r="1">
      <x v="52"/>
    </i>
    <i r="1">
      <x v="53"/>
    </i>
    <i r="1">
      <x v="59"/>
    </i>
    <i r="1">
      <x v="79"/>
    </i>
    <i>
      <x v="1"/>
    </i>
    <i r="1">
      <x v="11"/>
    </i>
    <i r="1">
      <x v="22"/>
    </i>
    <i r="1">
      <x v="24"/>
    </i>
    <i r="1">
      <x v="42"/>
    </i>
    <i r="1">
      <x v="82"/>
    </i>
    <i r="1">
      <x v="88"/>
    </i>
    <i r="1">
      <x v="93"/>
    </i>
    <i>
      <x v="2"/>
    </i>
    <i r="1">
      <x v="3"/>
    </i>
    <i r="1">
      <x v="10"/>
    </i>
    <i r="1">
      <x v="14"/>
    </i>
    <i r="1">
      <x v="15"/>
    </i>
    <i r="1">
      <x v="17"/>
    </i>
    <i r="1">
      <x v="18"/>
    </i>
    <i r="1">
      <x v="19"/>
    </i>
    <i r="1">
      <x v="25"/>
    </i>
    <i r="1">
      <x v="28"/>
    </i>
    <i r="1">
      <x v="37"/>
    </i>
    <i r="1">
      <x v="43"/>
    </i>
    <i r="1">
      <x v="68"/>
    </i>
    <i r="1">
      <x v="69"/>
    </i>
    <i>
      <x v="3"/>
    </i>
    <i r="1">
      <x/>
    </i>
    <i r="1">
      <x v="1"/>
    </i>
    <i r="1">
      <x v="4"/>
    </i>
    <i r="1">
      <x v="6"/>
    </i>
    <i r="1">
      <x v="12"/>
    </i>
    <i r="1">
      <x v="34"/>
    </i>
    <i r="1">
      <x v="57"/>
    </i>
    <i r="1">
      <x v="86"/>
    </i>
    <i r="1">
      <x v="92"/>
    </i>
    <i>
      <x v="4"/>
    </i>
    <i r="1">
      <x v="8"/>
    </i>
    <i r="1">
      <x v="48"/>
    </i>
    <i r="1">
      <x v="49"/>
    </i>
    <i r="1">
      <x v="51"/>
    </i>
    <i>
      <x v="5"/>
    </i>
    <i r="1">
      <x v="20"/>
    </i>
    <i r="1">
      <x v="50"/>
    </i>
    <i r="1">
      <x v="64"/>
    </i>
    <i r="1">
      <x v="65"/>
    </i>
    <i r="1">
      <x v="72"/>
    </i>
    <i r="1">
      <x v="75"/>
    </i>
    <i r="1">
      <x v="85"/>
    </i>
    <i r="1">
      <x v="87"/>
    </i>
    <i>
      <x v="6"/>
    </i>
    <i r="1">
      <x v="21"/>
    </i>
    <i r="1">
      <x v="33"/>
    </i>
    <i r="1">
      <x v="40"/>
    </i>
    <i r="1">
      <x v="44"/>
    </i>
    <i r="1">
      <x v="46"/>
    </i>
    <i r="1">
      <x v="56"/>
    </i>
    <i r="1">
      <x v="60"/>
    </i>
    <i r="1">
      <x v="66"/>
    </i>
    <i r="1">
      <x v="67"/>
    </i>
    <i r="1">
      <x v="76"/>
    </i>
    <i r="1">
      <x v="77"/>
    </i>
    <i r="1">
      <x v="84"/>
    </i>
    <i>
      <x v="7"/>
    </i>
    <i r="1">
      <x v="26"/>
    </i>
    <i r="1">
      <x v="27"/>
    </i>
    <i r="1">
      <x v="35"/>
    </i>
    <i r="1">
      <x v="38"/>
    </i>
    <i r="1">
      <x v="47"/>
    </i>
    <i r="1">
      <x v="70"/>
    </i>
    <i r="1">
      <x v="74"/>
    </i>
    <i r="1">
      <x v="78"/>
    </i>
    <i r="1">
      <x v="89"/>
    </i>
    <i r="1">
      <x v="90"/>
    </i>
    <i r="1">
      <x v="91"/>
    </i>
    <i>
      <x v="8"/>
    </i>
    <i r="1">
      <x v="7"/>
    </i>
    <i r="1">
      <x v="13"/>
    </i>
    <i r="1">
      <x v="23"/>
    </i>
    <i r="1">
      <x v="30"/>
    </i>
    <i r="1">
      <x v="31"/>
    </i>
    <i r="1">
      <x v="39"/>
    </i>
    <i r="1">
      <x v="54"/>
    </i>
    <i r="1">
      <x v="63"/>
    </i>
    <i r="1">
      <x v="81"/>
    </i>
    <i r="1">
      <x v="83"/>
    </i>
    <i r="1">
      <x v="94"/>
    </i>
    <i r="1">
      <x v="95"/>
    </i>
    <i r="1">
      <x v="96"/>
    </i>
    <i r="1">
      <x v="97"/>
    </i>
    <i>
      <x v="9"/>
    </i>
    <i r="1">
      <x v="9"/>
    </i>
    <i r="1">
      <x v="32"/>
    </i>
    <i r="1">
      <x v="36"/>
    </i>
    <i r="1">
      <x v="55"/>
    </i>
    <i r="1">
      <x v="58"/>
    </i>
    <i r="1">
      <x v="61"/>
    </i>
    <i r="1">
      <x v="62"/>
    </i>
    <i r="1">
      <x v="71"/>
    </i>
    <i r="1">
      <x v="73"/>
    </i>
    <i r="1">
      <x v="80"/>
    </i>
    <i r="1">
      <x v="98"/>
    </i>
    <i r="1">
      <x v="99"/>
    </i>
    <i r="1">
      <x v="100"/>
    </i>
    <i r="1">
      <x v="101"/>
    </i>
    <i>
      <x v="10"/>
    </i>
    <i r="1">
      <x v="102"/>
    </i>
    <i t="grand">
      <x/>
    </i>
  </rowItems>
  <colItems count="1">
    <i/>
  </colItems>
  <dataFields count="1">
    <dataField name="Antal Kirk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A46A2-D14F-4BE7-BC3D-CE162B7E39F9}" name="Pivottabel2" cacheId="3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A1:G117" firstHeaderRow="1" firstDataRow="2" firstDataCol="1"/>
  <pivotFields count="6">
    <pivotField axis="axisRow" showAll="0">
      <items count="12">
        <item x="4"/>
        <item x="9"/>
        <item x="1"/>
        <item x="0"/>
        <item x="3"/>
        <item x="8"/>
        <item x="2"/>
        <item x="6"/>
        <item x="5"/>
        <item x="7"/>
        <item x="10"/>
        <item t="default"/>
      </items>
    </pivotField>
    <pivotField axis="axisRow" showAll="0">
      <items count="104">
        <item x="5"/>
        <item x="6"/>
        <item x="40"/>
        <item x="17"/>
        <item x="3"/>
        <item x="39"/>
        <item x="2"/>
        <item x="52"/>
        <item x="37"/>
        <item x="82"/>
        <item x="13"/>
        <item x="98"/>
        <item x="1"/>
        <item x="54"/>
        <item x="14"/>
        <item x="15"/>
        <item x="43"/>
        <item x="10"/>
        <item x="9"/>
        <item x="11"/>
        <item x="93"/>
        <item x="32"/>
        <item x="95"/>
        <item x="51"/>
        <item x="101"/>
        <item x="12"/>
        <item x="67"/>
        <item x="69"/>
        <item x="19"/>
        <item x="44"/>
        <item x="53"/>
        <item x="60"/>
        <item x="79"/>
        <item x="26"/>
        <item x="8"/>
        <item x="68"/>
        <item x="76"/>
        <item x="20"/>
        <item x="71"/>
        <item x="55"/>
        <item x="25"/>
        <item x="47"/>
        <item x="99"/>
        <item x="18"/>
        <item x="24"/>
        <item x="46"/>
        <item x="23"/>
        <item x="70"/>
        <item x="34"/>
        <item x="36"/>
        <item x="88"/>
        <item x="35"/>
        <item x="41"/>
        <item x="45"/>
        <item x="58"/>
        <item x="81"/>
        <item x="30"/>
        <item x="0"/>
        <item x="74"/>
        <item x="38"/>
        <item x="27"/>
        <item x="85"/>
        <item x="78"/>
        <item x="61"/>
        <item x="87"/>
        <item x="92"/>
        <item x="28"/>
        <item x="22"/>
        <item x="21"/>
        <item x="16"/>
        <item x="64"/>
        <item x="77"/>
        <item x="90"/>
        <item x="75"/>
        <item x="65"/>
        <item x="91"/>
        <item x="33"/>
        <item x="31"/>
        <item x="72"/>
        <item x="42"/>
        <item x="80"/>
        <item x="57"/>
        <item x="97"/>
        <item x="56"/>
        <item x="29"/>
        <item x="94"/>
        <item x="4"/>
        <item x="89"/>
        <item x="100"/>
        <item x="66"/>
        <item x="62"/>
        <item x="63"/>
        <item x="7"/>
        <item x="96"/>
        <item x="48"/>
        <item x="49"/>
        <item x="50"/>
        <item x="59"/>
        <item x="73"/>
        <item x="83"/>
        <item x="84"/>
        <item x="86"/>
        <item x="102"/>
        <item t="default"/>
      </items>
    </pivotField>
    <pivotField showAll="0"/>
    <pivotField showAll="0"/>
    <pivotField dataField="1" showAll="0">
      <items count="2382">
        <item x="2186"/>
        <item x="1178"/>
        <item x="2276"/>
        <item x="1692"/>
        <item x="81"/>
        <item x="957"/>
        <item x="2066"/>
        <item x="2175"/>
        <item x="1132"/>
        <item x="680"/>
        <item x="1300"/>
        <item x="1253"/>
        <item x="1508"/>
        <item x="1829"/>
        <item x="1902"/>
        <item x="1075"/>
        <item x="17"/>
        <item x="1173"/>
        <item x="1876"/>
        <item x="1756"/>
        <item x="89"/>
        <item x="2312"/>
        <item x="382"/>
        <item x="961"/>
        <item x="442"/>
        <item x="931"/>
        <item x="955"/>
        <item x="533"/>
        <item x="1697"/>
        <item x="43"/>
        <item x="44"/>
        <item x="1054"/>
        <item x="1391"/>
        <item x="1686"/>
        <item x="1101"/>
        <item x="562"/>
        <item x="529"/>
        <item x="1203"/>
        <item x="310"/>
        <item x="91"/>
        <item x="489"/>
        <item x="2029"/>
        <item x="1846"/>
        <item x="1"/>
        <item x="488"/>
        <item x="180"/>
        <item x="254"/>
        <item x="1622"/>
        <item x="2049"/>
        <item x="59"/>
        <item x="818"/>
        <item x="1055"/>
        <item x="703"/>
        <item x="125"/>
        <item x="1111"/>
        <item x="2052"/>
        <item x="1576"/>
        <item x="721"/>
        <item x="2182"/>
        <item x="1231"/>
        <item x="2360"/>
        <item x="1149"/>
        <item x="1954"/>
        <item x="2039"/>
        <item x="744"/>
        <item x="1398"/>
        <item x="218"/>
        <item x="219"/>
        <item x="499"/>
        <item x="1647"/>
        <item x="884"/>
        <item x="1807"/>
        <item x="2258"/>
        <item x="1574"/>
        <item x="2208"/>
        <item x="352"/>
        <item x="1107"/>
        <item x="1131"/>
        <item x="2255"/>
        <item x="2254"/>
        <item x="1519"/>
        <item x="1852"/>
        <item x="1020"/>
        <item x="440"/>
        <item x="439"/>
        <item x="285"/>
        <item x="944"/>
        <item x="611"/>
        <item x="705"/>
        <item x="1169"/>
        <item x="1017"/>
        <item x="153"/>
        <item x="1617"/>
        <item x="447"/>
        <item x="1762"/>
        <item x="2323"/>
        <item x="288"/>
        <item x="1446"/>
        <item x="2197"/>
        <item x="890"/>
        <item x="743"/>
        <item x="1179"/>
        <item x="861"/>
        <item x="2358"/>
        <item x="1529"/>
        <item x="623"/>
        <item x="1946"/>
        <item x="828"/>
        <item x="1272"/>
        <item x="2047"/>
        <item x="1198"/>
        <item x="632"/>
        <item x="72"/>
        <item x="952"/>
        <item x="515"/>
        <item x="1945"/>
        <item x="1662"/>
        <item x="0"/>
        <item x="431"/>
        <item x="1042"/>
        <item x="2206"/>
        <item x="1189"/>
        <item x="1422"/>
        <item x="2054"/>
        <item x="2163"/>
        <item x="1349"/>
        <item x="1138"/>
        <item x="190"/>
        <item x="1037"/>
        <item x="354"/>
        <item x="715"/>
        <item x="163"/>
        <item x="1094"/>
        <item x="62"/>
        <item x="64"/>
        <item x="65"/>
        <item x="351"/>
        <item x="1679"/>
        <item x="1147"/>
        <item x="443"/>
        <item x="532"/>
        <item x="2213"/>
        <item x="2353"/>
        <item x="1437"/>
        <item x="1426"/>
        <item x="2235"/>
        <item x="407"/>
        <item x="1690"/>
        <item x="1357"/>
        <item x="1301"/>
        <item x="248"/>
        <item x="328"/>
        <item x="1486"/>
        <item x="1615"/>
        <item x="1256"/>
        <item x="698"/>
        <item x="647"/>
        <item x="413"/>
        <item x="819"/>
        <item x="1551"/>
        <item x="1632"/>
        <item x="32"/>
        <item x="641"/>
        <item x="2104"/>
        <item x="1981"/>
        <item x="398"/>
        <item x="2243"/>
        <item x="2244"/>
        <item x="1021"/>
        <item x="1991"/>
        <item x="1990"/>
        <item x="929"/>
        <item x="2298"/>
        <item x="2299"/>
        <item x="1614"/>
        <item x="719"/>
        <item x="2177"/>
        <item x="1424"/>
        <item x="809"/>
        <item x="2343"/>
        <item x="2344"/>
        <item x="2191"/>
        <item x="2322"/>
        <item x="2285"/>
        <item x="544"/>
        <item x="1825"/>
        <item x="441"/>
        <item x="2093"/>
        <item x="886"/>
        <item x="510"/>
        <item x="2265"/>
        <item x="2266"/>
        <item x="877"/>
        <item x="506"/>
        <item x="5"/>
        <item x="1346"/>
        <item x="1192"/>
        <item x="922"/>
        <item x="854"/>
        <item x="2084"/>
        <item x="1749"/>
        <item x="1724"/>
        <item x="951"/>
        <item x="2292"/>
        <item x="191"/>
        <item x="178"/>
        <item x="181"/>
        <item x="1115"/>
        <item x="1116"/>
        <item x="1457"/>
        <item x="2180"/>
        <item x="68"/>
        <item x="2021"/>
        <item x="547"/>
        <item x="161"/>
        <item x="1053"/>
        <item x="419"/>
        <item x="2144"/>
        <item x="2245"/>
        <item x="739"/>
        <item x="472"/>
        <item x="2246"/>
        <item x="1141"/>
        <item x="2028"/>
        <item x="1367"/>
        <item x="2102"/>
        <item x="1327"/>
        <item x="1326"/>
        <item x="2072"/>
        <item x="992"/>
        <item x="1589"/>
        <item x="1587"/>
        <item x="856"/>
        <item x="631"/>
        <item x="1068"/>
        <item x="85"/>
        <item x="130"/>
        <item x="1636"/>
        <item x="301"/>
        <item x="2253"/>
        <item x="52"/>
        <item x="1893"/>
        <item x="563"/>
        <item x="1968"/>
        <item x="1969"/>
        <item x="2187"/>
        <item x="1098"/>
        <item x="1761"/>
        <item x="949"/>
        <item x="948"/>
        <item x="942"/>
        <item x="642"/>
        <item x="708"/>
        <item x="2008"/>
        <item x="1376"/>
        <item x="2355"/>
        <item x="149"/>
        <item x="962"/>
        <item x="18"/>
        <item x="11"/>
        <item x="2099"/>
        <item x="926"/>
        <item x="1306"/>
        <item x="1384"/>
        <item x="1469"/>
        <item x="1136"/>
        <item x="1693"/>
        <item x="500"/>
        <item x="1281"/>
        <item x="107"/>
        <item x="106"/>
        <item x="914"/>
        <item x="872"/>
        <item x="1049"/>
        <item x="1963"/>
        <item x="1130"/>
        <item x="1129"/>
        <item x="425"/>
        <item x="1836"/>
        <item x="237"/>
        <item x="1350"/>
        <item x="2268"/>
        <item x="2269"/>
        <item x="1604"/>
        <item x="1766"/>
        <item x="964"/>
        <item x="172"/>
        <item x="1476"/>
        <item x="758"/>
        <item x="1805"/>
        <item x="377"/>
        <item x="1841"/>
        <item x="1835"/>
        <item x="497"/>
        <item x="203"/>
        <item x="212"/>
        <item x="1547"/>
        <item x="2264"/>
        <item x="1830"/>
        <item x="906"/>
        <item x="1477"/>
        <item x="2267"/>
        <item x="2280"/>
        <item x="668"/>
        <item x="2336"/>
        <item x="2335"/>
        <item x="2112"/>
        <item x="1925"/>
        <item x="891"/>
        <item x="400"/>
        <item x="1085"/>
        <item x="1278"/>
        <item x="839"/>
        <item x="1554"/>
        <item x="1619"/>
        <item x="1917"/>
        <item x="122"/>
        <item x="1561"/>
        <item x="1030"/>
        <item x="1926"/>
        <item x="1092"/>
        <item x="1159"/>
        <item x="1051"/>
        <item x="640"/>
        <item x="1439"/>
        <item x="1916"/>
        <item x="1289"/>
        <item x="2293"/>
        <item x="1334"/>
        <item x="1050"/>
        <item x="66"/>
        <item x="13"/>
        <item x="2195"/>
        <item x="1151"/>
        <item x="1747"/>
        <item x="572"/>
        <item x="1597"/>
        <item x="775"/>
        <item x="1629"/>
        <item x="128"/>
        <item x="332"/>
        <item x="1791"/>
        <item x="2340"/>
        <item x="1860"/>
        <item x="2238"/>
        <item x="748"/>
        <item x="2284"/>
        <item x="1286"/>
        <item x="137"/>
        <item x="261"/>
        <item x="777"/>
        <item x="976"/>
        <item x="1784"/>
        <item x="1870"/>
        <item x="1479"/>
        <item x="596"/>
        <item x="1593"/>
        <item x="795"/>
        <item x="1682"/>
        <item x="939"/>
        <item x="1808"/>
        <item x="643"/>
        <item x="953"/>
        <item x="521"/>
        <item x="2171"/>
        <item x="1097"/>
        <item x="1489"/>
        <item x="293"/>
        <item x="295"/>
        <item x="2105"/>
        <item x="1582"/>
        <item x="1635"/>
        <item x="1850"/>
        <item x="555"/>
        <item x="716"/>
        <item x="1812"/>
        <item x="1538"/>
        <item x="1373"/>
        <item x="2239"/>
        <item x="717"/>
        <item x="614"/>
        <item x="1603"/>
        <item x="239"/>
        <item x="90"/>
        <item x="2153"/>
        <item x="423"/>
        <item x="1387"/>
        <item x="1606"/>
        <item x="770"/>
        <item x="1843"/>
        <item x="887"/>
        <item x="2121"/>
        <item x="2227"/>
        <item x="1512"/>
        <item x="530"/>
        <item x="1217"/>
        <item x="1162"/>
        <item x="1163"/>
        <item x="1176"/>
        <item x="671"/>
        <item x="1483"/>
        <item x="869"/>
        <item x="508"/>
        <item x="16"/>
        <item x="1380"/>
        <item x="1590"/>
        <item x="340"/>
        <item x="580"/>
        <item x="1003"/>
        <item x="1889"/>
        <item x="2023"/>
        <item x="2203"/>
        <item x="1472"/>
        <item x="1634"/>
        <item x="1648"/>
        <item x="1492"/>
        <item x="1983"/>
        <item x="960"/>
        <item x="823"/>
        <item x="113"/>
        <item x="216"/>
        <item x="1934"/>
        <item x="2279"/>
        <item x="135"/>
        <item x="23"/>
        <item x="21"/>
        <item x="27"/>
        <item x="26"/>
        <item x="326"/>
        <item x="1175"/>
        <item x="116"/>
        <item x="1939"/>
        <item x="246"/>
        <item x="228"/>
        <item x="268"/>
        <item x="545"/>
        <item x="1090"/>
        <item x="141"/>
        <item x="1699"/>
        <item x="475"/>
        <item x="1360"/>
        <item x="1026"/>
        <item x="578"/>
        <item x="619"/>
        <item x="997"/>
        <item x="753"/>
        <item x="1811"/>
        <item x="1771"/>
        <item x="1329"/>
        <item x="591"/>
        <item x="1918"/>
        <item x="445"/>
        <item x="895"/>
        <item x="586"/>
        <item x="1725"/>
        <item x="2064"/>
        <item x="673"/>
        <item x="501"/>
        <item x="1955"/>
        <item x="2156"/>
        <item x="333"/>
        <item x="374"/>
        <item x="1709"/>
        <item x="1283"/>
        <item x="894"/>
        <item x="2290"/>
        <item x="348"/>
        <item x="2139"/>
        <item x="1989"/>
        <item x="1375"/>
        <item x="858"/>
        <item x="1737"/>
        <item x="227"/>
        <item x="139"/>
        <item x="134"/>
        <item x="1957"/>
        <item x="2328"/>
        <item x="603"/>
        <item x="787"/>
        <item x="804"/>
        <item x="1511"/>
        <item x="306"/>
        <item x="1995"/>
        <item x="889"/>
        <item x="2249"/>
        <item x="168"/>
        <item x="1356"/>
        <item x="236"/>
        <item x="1900"/>
        <item x="393"/>
        <item x="846"/>
        <item x="975"/>
        <item x="2030"/>
        <item x="124"/>
        <item x="1743"/>
        <item x="1276"/>
        <item x="379"/>
        <item x="421"/>
        <item x="179"/>
        <item x="262"/>
        <item x="263"/>
        <item x="675"/>
        <item x="1974"/>
        <item x="1646"/>
        <item x="1845"/>
        <item x="984"/>
        <item x="466"/>
        <item x="1494"/>
        <item x="1318"/>
        <item x="2155"/>
        <item x="1488"/>
        <item x="2148"/>
        <item x="1569"/>
        <item x="1570"/>
        <item x="1973"/>
        <item x="1775"/>
        <item x="1864"/>
        <item x="1872"/>
        <item x="1208"/>
        <item x="1851"/>
        <item x="150"/>
        <item x="151"/>
        <item x="868"/>
        <item x="1793"/>
        <item x="1844"/>
        <item x="395"/>
        <item x="710"/>
        <item x="184"/>
        <item x="185"/>
        <item x="183"/>
        <item x="2365"/>
        <item x="1640"/>
        <item x="622"/>
        <item x="1444"/>
        <item x="766"/>
        <item x="1100"/>
        <item x="22"/>
        <item x="2077"/>
        <item x="1683"/>
        <item x="2202"/>
        <item x="480"/>
        <item x="1905"/>
        <item x="2217"/>
        <item x="1637"/>
        <item x="1363"/>
        <item x="2075"/>
        <item x="2014"/>
        <item x="2321"/>
        <item x="2326"/>
        <item x="2162"/>
        <item x="2164"/>
        <item x="1790"/>
        <item x="1855"/>
        <item x="1858"/>
        <item x="651"/>
        <item x="498"/>
        <item x="2081"/>
        <item x="1454"/>
        <item x="830"/>
        <item x="2161"/>
        <item x="2160"/>
        <item x="1533"/>
        <item x="1886"/>
        <item x="1885"/>
        <item x="63"/>
        <item x="2088"/>
        <item x="1273"/>
        <item x="1352"/>
        <item x="1723"/>
        <item x="233"/>
        <item x="711"/>
        <item x="264"/>
        <item x="1623"/>
        <item x="82"/>
        <item x="273"/>
        <item x="217"/>
        <item x="331"/>
        <item x="1455"/>
        <item x="1393"/>
        <item x="813"/>
        <item x="2278"/>
        <item x="2277"/>
        <item x="923"/>
        <item x="50"/>
        <item x="921"/>
        <item x="689"/>
        <item x="1321"/>
        <item x="1314"/>
        <item x="2087"/>
        <item x="837"/>
        <item x="1581"/>
        <item x="1406"/>
        <item x="582"/>
        <item x="1485"/>
        <item x="1303"/>
        <item x="801"/>
        <item x="371"/>
        <item x="206"/>
        <item x="726"/>
        <item x="806"/>
        <item x="1685"/>
        <item x="507"/>
        <item x="1164"/>
        <item x="1526"/>
        <item x="1767"/>
        <item x="2006"/>
        <item x="448"/>
        <item x="314"/>
        <item x="409"/>
        <item x="1214"/>
        <item x="2332"/>
        <item x="1083"/>
        <item x="1898"/>
        <item x="1532"/>
        <item x="1112"/>
        <item x="465"/>
        <item x="1383"/>
        <item x="1958"/>
        <item x="620"/>
        <item x="1883"/>
        <item x="1882"/>
        <item x="2210"/>
        <item x="418"/>
        <item x="1684"/>
        <item x="1124"/>
        <item x="1080"/>
        <item x="700"/>
        <item x="704"/>
        <item x="1877"/>
        <item x="1859"/>
        <item x="606"/>
        <item x="1436"/>
        <item x="1641"/>
        <item x="1555"/>
        <item x="1837"/>
        <item x="2288"/>
        <item x="2100"/>
        <item x="1060"/>
        <item x="144"/>
        <item x="99"/>
        <item x="1245"/>
        <item x="160"/>
        <item x="534"/>
        <item x="1594"/>
        <item x="1595"/>
        <item x="1596"/>
        <item x="298"/>
        <item x="1982"/>
        <item x="888"/>
        <item x="1465"/>
        <item x="1975"/>
        <item x="1262"/>
        <item x="1345"/>
        <item x="2297"/>
        <item x="39"/>
        <item x="37"/>
        <item x="38"/>
        <item x="542"/>
        <item x="543"/>
        <item x="1776"/>
        <item x="844"/>
        <item x="1061"/>
        <item x="1266"/>
        <item x="1717"/>
        <item x="1531"/>
        <item x="1906"/>
        <item x="2146"/>
        <item x="1481"/>
        <item x="658"/>
        <item x="659"/>
        <item x="1196"/>
        <item x="2263"/>
        <item x="1966"/>
        <item x="549"/>
        <item x="667"/>
        <item x="666"/>
        <item x="1577"/>
        <item x="297"/>
        <item x="970"/>
        <item x="2371"/>
        <item x="2370"/>
        <item x="2131"/>
        <item x="349"/>
        <item x="2304"/>
        <item x="684"/>
        <item x="2166"/>
        <item x="1610"/>
        <item x="1834"/>
        <item x="202"/>
        <item x="176"/>
        <item x="164"/>
        <item x="559"/>
        <item x="1127"/>
        <item x="4"/>
        <item x="1275"/>
        <item x="187"/>
        <item x="110"/>
        <item x="1122"/>
        <item x="874"/>
        <item x="266"/>
        <item x="196"/>
        <item x="195"/>
        <item x="1789"/>
        <item x="1269"/>
        <item x="1474"/>
        <item x="1866"/>
        <item x="697"/>
        <item x="2109"/>
        <item x="277"/>
        <item x="2059"/>
        <item x="2096"/>
        <item x="410"/>
        <item x="157"/>
        <item x="156"/>
        <item x="613"/>
        <item x="581"/>
        <item x="1565"/>
        <item x="1567"/>
        <item x="1566"/>
        <item x="1568"/>
        <item x="722"/>
        <item x="1029"/>
        <item x="974"/>
        <item x="760"/>
        <item x="1560"/>
        <item x="378"/>
        <item x="1408"/>
        <item x="189"/>
        <item x="186"/>
        <item x="2207"/>
        <item x="924"/>
        <item x="978"/>
        <item x="315"/>
        <item x="736"/>
        <item x="571"/>
        <item x="363"/>
        <item x="1475"/>
        <item x="1626"/>
        <item x="1174"/>
        <item x="1150"/>
        <item x="849"/>
        <item x="1125"/>
        <item x="963"/>
        <item x="1224"/>
        <item x="1223"/>
        <item x="2366"/>
        <item x="2311"/>
        <item x="471"/>
        <item x="1466"/>
        <item x="1652"/>
        <item x="1651"/>
        <item x="1438"/>
        <item x="2228"/>
        <item x="2196"/>
        <item x="2032"/>
        <item x="2233"/>
        <item x="1209"/>
        <item x="1428"/>
        <item x="2002"/>
        <item x="1924"/>
        <item x="1046"/>
        <item x="1337"/>
        <item x="2069"/>
        <item x="1795"/>
        <item x="1797"/>
        <item x="1796"/>
        <item x="2045"/>
        <item x="1520"/>
        <item x="1848"/>
        <item x="1562"/>
        <item x="1869"/>
        <item x="2240"/>
        <item x="1025"/>
        <item x="738"/>
        <item x="863"/>
        <item x="1935"/>
        <item x="1936"/>
        <item x="600"/>
        <item x="133"/>
        <item x="132"/>
        <item x="469"/>
        <item x="193"/>
        <item x="1546"/>
        <item x="1545"/>
        <item x="618"/>
        <item x="678"/>
        <item x="347"/>
        <item x="551"/>
        <item x="1849"/>
        <item x="2211"/>
        <item x="794"/>
        <item x="2377"/>
        <item x="201"/>
        <item x="941"/>
        <item x="1827"/>
        <item x="1828"/>
        <item x="2320"/>
        <item x="2357"/>
        <item x="791"/>
        <item x="1076"/>
        <item x="1077"/>
        <item x="1741"/>
        <item x="730"/>
        <item x="902"/>
        <item x="2086"/>
        <item x="995"/>
        <item x="1904"/>
        <item x="1403"/>
        <item x="2041"/>
        <item x="1601"/>
        <item x="2114"/>
        <item x="2133"/>
        <item x="1185"/>
        <item x="1001"/>
        <item x="208"/>
        <item x="1649"/>
        <item x="1241"/>
        <item x="2012"/>
        <item x="653"/>
        <item x="1680"/>
        <item x="908"/>
        <item x="1206"/>
        <item x="734"/>
        <item x="1221"/>
        <item x="1255"/>
        <item x="1254"/>
        <item x="896"/>
        <item x="67"/>
        <item x="69"/>
        <item x="384"/>
        <item x="1407"/>
        <item x="366"/>
        <item x="2345"/>
        <item x="1270"/>
        <item x="2145"/>
        <item x="2016"/>
        <item x="279"/>
        <item x="278"/>
        <item x="1817"/>
        <item x="1806"/>
        <item x="1948"/>
        <item x="1763"/>
        <item x="2376"/>
        <item x="1802"/>
        <item x="1899"/>
        <item x="1067"/>
        <item x="1600"/>
        <item x="1702"/>
        <item x="1501"/>
        <item x="556"/>
        <item x="676"/>
        <item x="589"/>
        <item x="79"/>
        <item x="77"/>
        <item x="1324"/>
        <item x="1440"/>
        <item x="494"/>
        <item x="493"/>
        <item x="94"/>
        <item x="2232"/>
        <item x="337"/>
        <item x="402"/>
        <item x="2333"/>
        <item x="2194"/>
        <item x="575"/>
        <item x="2229"/>
        <item x="1468"/>
        <item x="2199"/>
        <item x="1711"/>
        <item x="523"/>
        <item x="479"/>
        <item x="1265"/>
        <item x="1140"/>
        <item x="1691"/>
        <item x="209"/>
        <item x="210"/>
        <item x="1261"/>
        <item x="1625"/>
        <item x="486"/>
        <item x="353"/>
        <item x="670"/>
        <item x="669"/>
        <item x="871"/>
        <item x="570"/>
        <item x="583"/>
        <item x="938"/>
        <item x="1449"/>
        <item x="784"/>
        <item x="1563"/>
        <item x="1404"/>
        <item x="1631"/>
        <item x="1630"/>
        <item x="1580"/>
        <item x="2346"/>
        <item x="1524"/>
        <item x="25"/>
        <item x="893"/>
        <item x="411"/>
        <item x="1200"/>
        <item x="1633"/>
        <item x="335"/>
        <item x="245"/>
        <item x="274"/>
        <item x="358"/>
        <item x="2053"/>
        <item x="1242"/>
        <item x="1459"/>
        <item x="2223"/>
        <item x="1642"/>
        <item x="2325"/>
        <item x="2037"/>
        <item x="2036"/>
        <item x="1342"/>
        <item x="2334"/>
        <item x="2078"/>
        <item x="2013"/>
        <item x="662"/>
        <item x="663"/>
        <item x="1121"/>
        <item x="1186"/>
        <item x="73"/>
        <item x="1204"/>
        <item x="1205"/>
        <item x="84"/>
        <item x="650"/>
        <item x="2020"/>
        <item x="851"/>
        <item x="2308"/>
        <item x="427"/>
        <item x="2378"/>
        <item x="1462"/>
        <item x="630"/>
        <item x="468"/>
        <item x="370"/>
        <item x="516"/>
        <item x="169"/>
        <item x="235"/>
        <item x="1279"/>
        <item x="1240"/>
        <item x="436"/>
        <item x="635"/>
        <item x="2003"/>
        <item x="316"/>
        <item x="1177"/>
        <item x="1336"/>
        <item x="1543"/>
        <item x="1396"/>
        <item x="2073"/>
        <item x="1490"/>
        <item x="1932"/>
        <item x="455"/>
        <item x="167"/>
        <item x="320"/>
        <item x="782"/>
        <item x="1962"/>
        <item x="1663"/>
        <item x="404"/>
        <item x="357"/>
        <item x="702"/>
        <item x="60"/>
        <item x="707"/>
        <item x="1294"/>
        <item x="561"/>
        <item x="1820"/>
        <item x="211"/>
        <item x="790"/>
        <item x="655"/>
        <item x="656"/>
        <item x="657"/>
        <item x="579"/>
        <item x="1583"/>
        <item x="1167"/>
        <item x="1868"/>
        <item x="1994"/>
        <item x="138"/>
        <item x="102"/>
        <item x="103"/>
        <item x="1731"/>
        <item x="881"/>
        <item x="639"/>
        <item x="980"/>
        <item x="864"/>
        <item x="1048"/>
        <item x="2256"/>
        <item x="771"/>
        <item x="1213"/>
        <item x="652"/>
        <item x="146"/>
        <item x="399"/>
        <item x="699"/>
        <item x="3"/>
        <item x="805"/>
        <item x="462"/>
        <item x="424"/>
        <item x="390"/>
        <item x="664"/>
        <item x="386"/>
        <item x="287"/>
        <item x="910"/>
        <item x="1315"/>
        <item x="1712"/>
        <item x="816"/>
        <item x="629"/>
        <item x="250"/>
        <item x="100"/>
        <item x="1064"/>
        <item x="369"/>
        <item x="815"/>
        <item x="2281"/>
        <item x="8"/>
        <item x="115"/>
        <item x="387"/>
        <item x="2361"/>
        <item x="1319"/>
        <item x="2379"/>
        <item x="1410"/>
        <item x="1211"/>
        <item x="1210"/>
        <item x="829"/>
        <item x="2242"/>
        <item x="1250"/>
        <item x="779"/>
        <item x="513"/>
        <item x="1620"/>
        <item x="1831"/>
        <item x="1467"/>
        <item x="1816"/>
        <item x="215"/>
        <item x="1669"/>
        <item x="2318"/>
        <item x="1218"/>
        <item x="1840"/>
        <item x="1897"/>
        <item x="1216"/>
        <item x="1579"/>
        <item x="538"/>
        <item x="1944"/>
        <item x="1312"/>
        <item x="118"/>
        <item x="1348"/>
        <item x="567"/>
        <item x="380"/>
        <item x="2369"/>
        <item x="1505"/>
        <item x="485"/>
        <item x="108"/>
        <item x="686"/>
        <item x="946"/>
        <item x="1780"/>
        <item x="1770"/>
        <item x="930"/>
        <item x="256"/>
        <item x="255"/>
        <item x="1448"/>
        <item x="1028"/>
        <item x="127"/>
        <item x="1782"/>
        <item x="1781"/>
        <item x="826"/>
        <item x="244"/>
        <item x="198"/>
        <item x="585"/>
        <item x="754"/>
        <item x="1023"/>
        <item x="467"/>
        <item x="2089"/>
        <item x="457"/>
        <item x="590"/>
        <item x="1187"/>
        <item x="1371"/>
        <item x="2056"/>
        <item x="1435"/>
        <item x="519"/>
        <item x="969"/>
        <item x="2275"/>
        <item x="243"/>
        <item x="1000"/>
        <item x="1959"/>
        <item x="857"/>
        <item x="729"/>
        <item x="78"/>
        <item x="396"/>
        <item x="1578"/>
        <item x="1035"/>
        <item x="645"/>
        <item x="1219"/>
        <item x="1884"/>
        <item x="712"/>
        <item x="2173"/>
        <item x="1659"/>
        <item x="1215"/>
        <item x="840"/>
        <item x="2351"/>
        <item x="727"/>
        <item x="1667"/>
        <item x="1031"/>
        <item x="1890"/>
        <item x="220"/>
        <item x="1427"/>
        <item x="2307"/>
        <item x="405"/>
        <item x="1451"/>
        <item x="1765"/>
        <item x="1611"/>
        <item x="1613"/>
        <item x="1612"/>
        <item x="1156"/>
        <item x="1891"/>
        <item x="1190"/>
        <item x="1624"/>
        <item x="406"/>
        <item x="1445"/>
        <item x="1226"/>
        <item x="1227"/>
        <item x="417"/>
        <item x="548"/>
        <item x="312"/>
        <item x="723"/>
        <item x="811"/>
        <item x="329"/>
        <item x="1305"/>
        <item x="1818"/>
        <item x="1571"/>
        <item x="1965"/>
        <item x="2157"/>
        <item x="162"/>
        <item x="998"/>
        <item x="780"/>
        <item x="15"/>
        <item x="1070"/>
        <item x="2019"/>
        <item x="1421"/>
        <item x="2374"/>
        <item x="2031"/>
        <item x="1757"/>
        <item x="1931"/>
        <item x="1297"/>
        <item x="1271"/>
        <item x="1608"/>
        <item x="996"/>
        <item x="1493"/>
        <item x="954"/>
        <item x="502"/>
        <item x="644"/>
        <item x="825"/>
        <item x="925"/>
        <item x="148"/>
        <item x="694"/>
        <item x="304"/>
        <item x="1734"/>
        <item x="1470"/>
        <item x="140"/>
        <item x="1458"/>
        <item x="576"/>
        <item x="2058"/>
        <item x="391"/>
        <item x="1416"/>
        <item x="2115"/>
        <item x="2289"/>
        <item x="299"/>
        <item x="307"/>
        <item x="305"/>
        <item x="323"/>
        <item x="1653"/>
        <item x="1172"/>
        <item x="2147"/>
        <item x="1880"/>
        <item x="260"/>
        <item x="2260"/>
        <item x="1937"/>
        <item x="1389"/>
        <item x="1927"/>
        <item x="943"/>
        <item x="2026"/>
        <item x="1978"/>
        <item x="1288"/>
        <item x="2347"/>
        <item x="870"/>
        <item x="1497"/>
        <item x="1496"/>
        <item x="2189"/>
        <item x="2234"/>
        <item x="1328"/>
        <item x="2111"/>
        <item x="2060"/>
        <item x="1343"/>
        <item x="2367"/>
        <item x="2368"/>
        <item x="1418"/>
        <item x="1069"/>
        <item x="1696"/>
        <item x="1413"/>
        <item x="2136"/>
        <item x="799"/>
        <item x="550"/>
        <item x="756"/>
        <item x="1499"/>
        <item x="1947"/>
        <item x="2022"/>
        <item x="1425"/>
        <item x="2005"/>
        <item x="450"/>
        <item x="83"/>
        <item x="1865"/>
        <item x="280"/>
        <item x="1798"/>
        <item x="123"/>
        <item x="735"/>
        <item x="1814"/>
        <item x="171"/>
        <item x="1755"/>
        <item x="1588"/>
        <item x="20"/>
        <item x="1036"/>
        <item x="1007"/>
        <item x="1008"/>
        <item x="588"/>
        <item x="2220"/>
        <item x="1557"/>
        <item x="1923"/>
        <item x="1550"/>
        <item x="258"/>
        <item x="1135"/>
        <item x="1953"/>
        <item x="1952"/>
        <item x="634"/>
        <item x="1695"/>
        <item x="1040"/>
        <item x="177"/>
        <item x="879"/>
        <item x="880"/>
        <item x="2192"/>
        <item x="1940"/>
        <item x="602"/>
        <item x="1290"/>
        <item x="2212"/>
        <item x="1339"/>
        <item x="1137"/>
        <item x="665"/>
        <item x="2067"/>
        <item x="1307"/>
        <item x="505"/>
        <item x="821"/>
        <item x="1034"/>
        <item x="759"/>
        <item x="1148"/>
        <item x="1819"/>
        <item x="1133"/>
        <item x="1591"/>
        <item x="2362"/>
        <item x="2188"/>
        <item x="2330"/>
        <item x="1985"/>
        <item x="1377"/>
        <item x="205"/>
        <item x="1826"/>
        <item x="155"/>
        <item x="476"/>
        <item x="1548"/>
        <item x="291"/>
        <item x="1941"/>
        <item x="265"/>
        <item x="1344"/>
        <item x="718"/>
        <item x="87"/>
        <item x="1552"/>
        <item x="1463"/>
        <item x="114"/>
        <item x="983"/>
        <item x="749"/>
        <item x="2352"/>
        <item x="1592"/>
        <item x="444"/>
        <item x="56"/>
        <item x="55"/>
        <item x="1086"/>
        <item x="1087"/>
        <item x="536"/>
        <item x="1745"/>
        <item x="1839"/>
        <item x="213"/>
        <item x="2132"/>
        <item x="2168"/>
        <item x="2262"/>
        <item x="2261"/>
        <item x="1668"/>
        <item x="1857"/>
        <item x="732"/>
        <item x="2317"/>
        <item x="2316"/>
        <item x="1660"/>
        <item x="781"/>
        <item x="520"/>
        <item x="1247"/>
        <item x="843"/>
        <item x="2079"/>
        <item x="2204"/>
        <item x="36"/>
        <item x="2138"/>
        <item x="1018"/>
        <item x="2270"/>
        <item x="192"/>
        <item x="327"/>
        <item x="1287"/>
        <item x="490"/>
        <item x="487"/>
        <item x="35"/>
        <item x="638"/>
        <item x="763"/>
        <item x="764"/>
        <item x="966"/>
        <item x="435"/>
        <item x="350"/>
        <item x="2063"/>
        <item x="1504"/>
        <item x="624"/>
        <item x="956"/>
        <item x="601"/>
        <item x="610"/>
        <item x="607"/>
        <item x="608"/>
        <item x="731"/>
        <item x="1813"/>
        <item x="325"/>
        <item x="1677"/>
        <item x="1873"/>
        <item x="1976"/>
        <item x="1091"/>
        <item x="1259"/>
        <item x="1584"/>
        <item x="802"/>
        <item x="496"/>
        <item x="2296"/>
        <item x="2295"/>
        <item x="2108"/>
        <item x="933"/>
        <item x="401"/>
        <item x="1541"/>
        <item x="1913"/>
        <item x="2142"/>
        <item x="317"/>
        <item x="832"/>
        <item x="456"/>
        <item x="803"/>
        <item x="1311"/>
        <item x="988"/>
        <item x="2190"/>
        <item x="2057"/>
        <item x="1585"/>
        <item x="827"/>
        <item x="2092"/>
        <item x="1801"/>
        <item x="838"/>
        <item x="1616"/>
        <item x="1618"/>
        <item x="990"/>
        <item x="989"/>
        <item x="1316"/>
        <item x="1066"/>
        <item x="810"/>
        <item x="1431"/>
        <item x="2095"/>
        <item x="792"/>
        <item x="892"/>
        <item x="1549"/>
        <item x="2342"/>
        <item x="1065"/>
        <item x="1063"/>
        <item x="701"/>
        <item x="2158"/>
        <item x="1304"/>
        <item x="2001"/>
        <item x="1654"/>
        <item x="492"/>
        <item x="1452"/>
        <item x="1671"/>
        <item x="1674"/>
        <item x="1672"/>
        <item x="1673"/>
        <item x="814"/>
        <item x="2068"/>
        <item x="2224"/>
        <item x="909"/>
        <item x="746"/>
        <item x="1006"/>
        <item x="681"/>
        <item x="1666"/>
        <item x="230"/>
        <item x="229"/>
        <item x="194"/>
        <item x="173"/>
        <item x="174"/>
        <item x="836"/>
        <item x="1943"/>
        <item x="866"/>
        <item x="449"/>
        <item x="381"/>
        <item x="848"/>
        <item x="691"/>
        <item x="1453"/>
        <item x="1507"/>
        <item x="1105"/>
        <item x="817"/>
        <item x="918"/>
        <item x="2055"/>
        <item x="1912"/>
        <item x="1500"/>
        <item x="1700"/>
        <item x="1292"/>
        <item x="1193"/>
        <item x="850"/>
        <item x="98"/>
        <item x="527"/>
        <item x="1419"/>
        <item x="1815"/>
        <item x="2287"/>
        <item x="383"/>
        <item x="276"/>
        <item x="158"/>
        <item x="318"/>
        <item x="626"/>
        <item x="625"/>
        <item x="945"/>
        <item x="773"/>
        <item x="1293"/>
        <item x="429"/>
        <item x="253"/>
        <item x="1605"/>
        <item x="1450"/>
        <item x="2159"/>
        <item x="1960"/>
        <item x="1979"/>
        <item x="1961"/>
        <item x="2193"/>
        <item x="1678"/>
        <item x="1498"/>
        <item x="968"/>
        <item x="1347"/>
        <item x="1949"/>
        <item x="1385"/>
        <item x="2247"/>
        <item x="1295"/>
        <item x="342"/>
        <item x="437"/>
        <item x="1024"/>
        <item x="1525"/>
        <item x="2179"/>
        <item x="2183"/>
        <item x="1382"/>
        <item x="1039"/>
        <item x="1997"/>
        <item x="2000"/>
        <item x="6"/>
        <item x="7"/>
        <item x="1867"/>
        <item x="1572"/>
        <item x="2129"/>
        <item x="979"/>
        <item x="981"/>
        <item x="2154"/>
        <item x="2128"/>
        <item x="2127"/>
        <item x="750"/>
        <item x="512"/>
        <item x="2273"/>
        <item x="2274"/>
        <item x="284"/>
        <item x="283"/>
        <item x="1009"/>
        <item x="615"/>
        <item x="1919"/>
        <item x="1920"/>
        <item x="999"/>
        <item x="2017"/>
        <item x="885"/>
        <item x="568"/>
        <item x="1108"/>
        <item x="985"/>
        <item x="1609"/>
        <item x="1320"/>
        <item x="1388"/>
        <item x="394"/>
        <item x="355"/>
        <item x="365"/>
        <item x="1441"/>
        <item x="1809"/>
        <item x="1104"/>
        <item x="1412"/>
        <item x="2070"/>
        <item x="1341"/>
        <item x="1895"/>
        <item x="1012"/>
        <item x="1011"/>
        <item x="503"/>
        <item x="214"/>
        <item x="40"/>
        <item x="1710"/>
        <item x="1442"/>
        <item x="713"/>
        <item x="388"/>
        <item x="1038"/>
        <item x="982"/>
        <item x="1244"/>
        <item x="46"/>
        <item x="752"/>
        <item x="745"/>
        <item x="1417"/>
        <item x="2033"/>
        <item x="1207"/>
        <item x="272"/>
        <item x="1878"/>
        <item x="898"/>
        <item x="1478"/>
        <item x="31"/>
        <item x="599"/>
        <item x="343"/>
        <item x="1044"/>
        <item x="434"/>
        <item x="1351"/>
        <item x="1322"/>
        <item x="875"/>
        <item x="491"/>
        <item x="430"/>
        <item x="1183"/>
        <item x="1970"/>
        <item x="2363"/>
        <item x="1564"/>
        <item x="1980"/>
        <item x="1405"/>
        <item x="1676"/>
        <item x="761"/>
        <item x="762"/>
        <item x="1907"/>
        <item x="1506"/>
        <item x="1202"/>
        <item x="862"/>
        <item x="593"/>
        <item x="950"/>
        <item x="937"/>
        <item x="119"/>
        <item x="2009"/>
        <item x="514"/>
        <item x="54"/>
        <item x="1335"/>
        <item x="45"/>
        <item x="2107"/>
        <item x="359"/>
        <item x="360"/>
        <item x="822"/>
        <item x="47"/>
        <item x="2051"/>
        <item x="142"/>
        <item x="10"/>
        <item x="617"/>
        <item x="362"/>
        <item x="361"/>
        <item x="574"/>
        <item x="1999"/>
        <item x="33"/>
        <item x="1047"/>
        <item x="12"/>
        <item x="166"/>
        <item x="165"/>
        <item x="2251"/>
        <item x="2250"/>
        <item x="197"/>
        <item x="24"/>
        <item x="126"/>
        <item x="2283"/>
        <item x="986"/>
        <item x="683"/>
        <item x="609"/>
        <item x="30"/>
        <item x="834"/>
        <item x="453"/>
        <item x="1657"/>
        <item x="899"/>
        <item x="1338"/>
        <item x="41"/>
        <item x="136"/>
        <item x="595"/>
        <item x="58"/>
        <item x="129"/>
        <item x="57"/>
        <item x="2209"/>
        <item x="2"/>
        <item x="451"/>
        <item x="1687"/>
        <item x="19"/>
        <item x="2010"/>
        <item x="682"/>
        <item x="685"/>
        <item x="987"/>
        <item x="1095"/>
        <item x="958"/>
        <item x="1998"/>
        <item x="2310"/>
        <item x="1277"/>
        <item x="428"/>
        <item x="1309"/>
        <item x="1769"/>
        <item x="1330"/>
        <item x="1773"/>
        <item x="1460"/>
        <item x="242"/>
        <item x="1799"/>
        <item x="341"/>
        <item x="1220"/>
        <item x="1736"/>
        <item x="1117"/>
        <item x="1764"/>
        <item x="1556"/>
        <item x="1355"/>
        <item x="234"/>
        <item x="511"/>
        <item x="1753"/>
        <item x="1752"/>
        <item x="1754"/>
        <item x="9"/>
        <item x="1513"/>
        <item x="1534"/>
        <item x="1013"/>
        <item x="95"/>
        <item x="1146"/>
        <item x="1145"/>
        <item x="2349"/>
        <item x="1536"/>
        <item x="147"/>
        <item x="1553"/>
        <item x="1703"/>
        <item x="1237"/>
        <item x="1390"/>
        <item x="1822"/>
        <item x="2080"/>
        <item x="1180"/>
        <item x="1181"/>
        <item x="1317"/>
        <item x="1282"/>
        <item x="1414"/>
        <item x="833"/>
        <item x="474"/>
        <item x="1714"/>
        <item x="1715"/>
        <item x="2309"/>
        <item x="1774"/>
        <item x="319"/>
        <item x="1842"/>
        <item x="1575"/>
        <item x="915"/>
        <item x="847"/>
        <item x="1930"/>
        <item x="1928"/>
        <item x="616"/>
        <item x="109"/>
        <item x="537"/>
        <item x="1052"/>
        <item x="1102"/>
        <item x="238"/>
        <item x="2324"/>
        <item x="627"/>
        <item x="1353"/>
        <item x="1236"/>
        <item x="1473"/>
        <item x="1705"/>
        <item x="1487"/>
        <item x="1794"/>
        <item x="1429"/>
        <item x="2364"/>
        <item x="2170"/>
        <item x="1239"/>
        <item x="1996"/>
        <item x="1908"/>
        <item x="1704"/>
        <item x="2038"/>
        <item x="900"/>
        <item x="1759"/>
        <item x="835"/>
        <item x="1706"/>
        <item x="247"/>
        <item x="2341"/>
        <item x="539"/>
        <item x="2042"/>
        <item x="292"/>
        <item x="725"/>
        <item x="175"/>
        <item x="289"/>
        <item x="290"/>
        <item x="2034"/>
        <item x="2205"/>
        <item x="1197"/>
        <item x="1014"/>
        <item x="241"/>
        <item x="865"/>
        <item x="1264"/>
        <item x="2184"/>
        <item x="1929"/>
        <item x="1638"/>
        <item x="1161"/>
        <item x="2329"/>
        <item x="1171"/>
        <item x="311"/>
        <item x="1921"/>
        <item x="1358"/>
        <item x="1359"/>
        <item x="672"/>
        <item x="1821"/>
        <item x="737"/>
        <item x="904"/>
        <item x="531"/>
        <item x="226"/>
        <item x="232"/>
        <item x="769"/>
        <item x="692"/>
        <item x="1716"/>
        <item x="1713"/>
        <item x="693"/>
        <item x="558"/>
        <item x="2331"/>
        <item x="249"/>
        <item x="1378"/>
        <item x="221"/>
        <item x="1258"/>
        <item x="1527"/>
        <item x="597"/>
        <item x="524"/>
        <item x="2082"/>
        <item x="373"/>
        <item x="231"/>
        <item x="1803"/>
        <item x="993"/>
        <item x="461"/>
        <item x="339"/>
        <item x="14"/>
        <item x="660"/>
        <item x="661"/>
        <item x="96"/>
        <item x="2225"/>
        <item x="2226"/>
        <item x="389"/>
        <item x="303"/>
        <item x="300"/>
        <item x="1397"/>
        <item x="690"/>
        <item x="526"/>
        <item x="525"/>
        <item x="2271"/>
        <item x="2018"/>
        <item x="1374"/>
        <item x="1956"/>
        <item x="557"/>
        <item x="1879"/>
        <item x="1914"/>
        <item x="2124"/>
        <item x="808"/>
        <item x="2134"/>
        <item x="1263"/>
        <item x="2101"/>
        <item x="294"/>
        <item x="636"/>
        <item x="637"/>
        <item x="1274"/>
        <item x="2040"/>
        <item x="154"/>
        <item x="1368"/>
        <item x="504"/>
        <item x="224"/>
        <item x="509"/>
        <item x="648"/>
        <item x="1019"/>
        <item x="911"/>
        <item x="1120"/>
        <item x="1874"/>
        <item x="2313"/>
        <item x="577"/>
        <item x="204"/>
        <item x="967"/>
        <item x="477"/>
        <item x="1689"/>
        <item x="695"/>
        <item x="1708"/>
        <item x="994"/>
        <item x="1372"/>
        <item x="733"/>
        <item x="1110"/>
        <item x="1096"/>
        <item x="1354"/>
        <item x="2372"/>
        <item x="416"/>
        <item x="105"/>
        <item x="104"/>
        <item x="463"/>
        <item x="720"/>
        <item x="1707"/>
        <item x="800"/>
        <item x="1308"/>
        <item x="2356"/>
        <item x="1158"/>
        <item x="786"/>
        <item x="282"/>
        <item x="2043"/>
        <item x="883"/>
        <item x="1643"/>
        <item x="1644"/>
        <item x="991"/>
        <item x="313"/>
        <item x="552"/>
        <item x="798"/>
        <item x="797"/>
        <item x="1043"/>
        <item x="1530"/>
        <item x="1362"/>
        <item x="1950"/>
        <item x="1951"/>
        <item x="1365"/>
        <item x="1073"/>
        <item x="88"/>
        <item x="92"/>
        <item x="93"/>
        <item x="1523"/>
        <item x="415"/>
        <item x="48"/>
        <item x="940"/>
        <item x="901"/>
        <item x="281"/>
        <item x="1093"/>
        <item x="1033"/>
        <item x="1516"/>
        <item x="470"/>
        <item x="649"/>
        <item x="367"/>
        <item x="1768"/>
        <item x="646"/>
        <item x="2319"/>
        <item x="1739"/>
        <item x="321"/>
        <item x="1856"/>
        <item x="1661"/>
        <item x="793"/>
        <item x="375"/>
        <item x="1165"/>
        <item x="392"/>
        <item x="2090"/>
        <item x="412"/>
        <item x="2103"/>
        <item x="751"/>
        <item x="385"/>
        <item x="446"/>
        <item x="152"/>
        <item x="159"/>
        <item x="859"/>
        <item x="1971"/>
        <item x="1888"/>
        <item x="1887"/>
        <item x="344"/>
        <item x="724"/>
        <item x="971"/>
        <item x="131"/>
        <item x="1655"/>
        <item x="789"/>
        <item x="481"/>
        <item x="679"/>
        <item x="2302"/>
        <item x="2106"/>
        <item x="934"/>
        <item x="1280"/>
        <item x="1573"/>
        <item x="972"/>
        <item x="458"/>
        <item x="788"/>
        <item x="1310"/>
        <item x="2140"/>
        <item x="2122"/>
        <item x="2152"/>
        <item x="1800"/>
        <item x="1401"/>
        <item x="2198"/>
        <item x="2216"/>
        <item x="2303"/>
        <item x="1313"/>
        <item x="2294"/>
        <item x="1910"/>
        <item x="1722"/>
        <item x="2110"/>
        <item x="1992"/>
        <item x="2252"/>
        <item x="1748"/>
        <item x="873"/>
        <item x="1977"/>
        <item x="2091"/>
        <item x="1089"/>
        <item x="1260"/>
        <item x="28"/>
        <item x="29"/>
        <item x="1402"/>
        <item x="482"/>
        <item x="842"/>
        <item x="688"/>
        <item x="2291"/>
        <item x="1062"/>
        <item x="674"/>
        <item x="1157"/>
        <item x="903"/>
        <item x="459"/>
        <item x="1738"/>
        <item x="61"/>
        <item x="145"/>
        <item x="1744"/>
        <item x="878"/>
        <item x="2259"/>
        <item x="1399"/>
        <item x="2306"/>
        <item x="2118"/>
        <item x="2117"/>
        <item x="2116"/>
        <item x="2286"/>
        <item x="546"/>
        <item x="42"/>
        <item x="1369"/>
        <item x="541"/>
        <item x="535"/>
        <item x="1514"/>
        <item x="1750"/>
        <item x="1456"/>
        <item x="1234"/>
        <item x="1233"/>
        <item x="1232"/>
        <item x="820"/>
        <item x="1628"/>
        <item x="1824"/>
        <item x="1823"/>
        <item x="2123"/>
        <item x="1238"/>
        <item x="2044"/>
        <item x="1903"/>
        <item x="1461"/>
        <item x="1599"/>
        <item x="1598"/>
        <item x="2150"/>
        <item x="252"/>
        <item x="200"/>
        <item x="709"/>
        <item x="1993"/>
        <item x="1235"/>
        <item x="2135"/>
        <item x="74"/>
        <item x="1539"/>
        <item x="584"/>
        <item x="70"/>
        <item x="2248"/>
        <item x="778"/>
        <item x="143"/>
        <item x="1540"/>
        <item x="2176"/>
        <item x="740"/>
        <item x="1810"/>
        <item x="1118"/>
        <item x="1942"/>
        <item x="2046"/>
        <item x="1430"/>
        <item x="2083"/>
        <item x="309"/>
        <item x="1528"/>
        <item x="1922"/>
        <item x="2178"/>
        <item x="598"/>
        <item x="1139"/>
        <item x="1119"/>
        <item x="853"/>
        <item x="757"/>
        <item x="812"/>
        <item x="965"/>
        <item x="1152"/>
        <item x="207"/>
        <item x="1675"/>
        <item x="1170"/>
        <item x="334"/>
        <item x="1719"/>
        <item x="259"/>
        <item x="1411"/>
        <item x="1938"/>
        <item x="1010"/>
        <item x="1559"/>
        <item x="1665"/>
        <item x="1015"/>
        <item x="1607"/>
        <item x="1191"/>
        <item x="2076"/>
        <item x="912"/>
        <item x="364"/>
        <item x="1915"/>
        <item x="112"/>
        <item x="2119"/>
        <item x="1875"/>
        <item x="1002"/>
        <item x="1727"/>
        <item x="1016"/>
        <item x="1698"/>
        <item x="654"/>
        <item x="1670"/>
        <item x="564"/>
        <item x="860"/>
        <item x="473"/>
        <item x="905"/>
        <item x="1964"/>
        <item x="454"/>
        <item x="1154"/>
        <item x="1760"/>
        <item x="1542"/>
        <item x="612"/>
        <item x="1720"/>
        <item x="1728"/>
        <item x="2314"/>
        <item x="621"/>
        <item x="592"/>
        <item x="1291"/>
        <item x="1285"/>
        <item x="460"/>
        <item x="1225"/>
        <item x="432"/>
        <item x="2200"/>
        <item x="2201"/>
        <item x="1464"/>
        <item x="1726"/>
        <item x="1586"/>
        <item x="2375"/>
        <item x="1838"/>
        <item x="747"/>
        <item x="1701"/>
        <item x="1787"/>
        <item x="308"/>
        <item x="687"/>
        <item x="101"/>
        <item x="772"/>
        <item x="1370"/>
        <item x="1045"/>
        <item x="338"/>
        <item x="947"/>
        <item x="414"/>
        <item x="2185"/>
        <item x="478"/>
        <item x="1967"/>
        <item x="222"/>
        <item x="2241"/>
        <item x="464"/>
        <item x="324"/>
        <item x="1155"/>
        <item x="831"/>
        <item x="1144"/>
        <item x="1639"/>
        <item x="1415"/>
        <item x="917"/>
        <item x="2350"/>
        <item x="2125"/>
        <item x="2126"/>
        <item x="2257"/>
        <item x="1022"/>
        <item x="2272"/>
        <item x="2282"/>
        <item x="330"/>
        <item x="1491"/>
        <item x="565"/>
        <item x="1079"/>
        <item x="1484"/>
        <item x="1911"/>
        <item x="1166"/>
        <item x="1746"/>
        <item x="483"/>
        <item x="275"/>
        <item x="2354"/>
        <item x="2167"/>
        <item x="1721"/>
        <item x="71"/>
        <item x="322"/>
        <item x="1071"/>
        <item x="1072"/>
        <item x="267"/>
        <item x="913"/>
        <item x="484"/>
        <item x="188"/>
        <item x="587"/>
        <item x="569"/>
        <item x="1106"/>
        <item x="517"/>
        <item x="2315"/>
        <item x="1420"/>
        <item x="1602"/>
        <item x="1243"/>
        <item x="170"/>
        <item x="80"/>
        <item x="977"/>
        <item x="765"/>
        <item x="2237"/>
        <item x="553"/>
        <item x="111"/>
        <item x="1109"/>
        <item x="346"/>
        <item x="345"/>
        <item x="2137"/>
        <item x="1733"/>
        <item x="1199"/>
        <item x="867"/>
        <item x="2027"/>
        <item x="841"/>
        <item x="1366"/>
        <item x="1862"/>
        <item x="251"/>
        <item x="2025"/>
        <item x="2024"/>
        <item x="1296"/>
        <item x="1059"/>
        <item x="882"/>
        <item x="932"/>
        <item x="741"/>
        <item x="336"/>
        <item x="604"/>
        <item x="1433"/>
        <item x="2007"/>
        <item x="920"/>
        <item x="919"/>
        <item x="225"/>
        <item x="240"/>
        <item x="1901"/>
        <item x="2130"/>
        <item x="2143"/>
        <item x="696"/>
        <item x="560"/>
        <item x="1694"/>
        <item x="1340"/>
        <item x="677"/>
        <item x="1650"/>
        <item x="852"/>
        <item x="1230"/>
        <item x="1229"/>
        <item x="1074"/>
        <item x="706"/>
        <item x="1854"/>
        <item x="1299"/>
        <item x="1409"/>
        <item x="528"/>
        <item x="554"/>
        <item x="605"/>
        <item x="1078"/>
        <item x="1201"/>
        <item x="1482"/>
        <item x="936"/>
        <item x="2151"/>
        <item x="422"/>
        <item x="2085"/>
        <item x="2015"/>
        <item x="916"/>
        <item x="2061"/>
        <item x="1792"/>
        <item x="767"/>
        <item x="1248"/>
        <item x="2004"/>
        <item x="1909"/>
        <item x="927"/>
        <item x="714"/>
        <item x="1509"/>
        <item x="2169"/>
        <item x="1057"/>
        <item x="34"/>
        <item x="1740"/>
        <item x="199"/>
        <item x="1252"/>
        <item x="1143"/>
        <item x="296"/>
        <item x="120"/>
        <item x="1742"/>
        <item x="121"/>
        <item x="1984"/>
        <item x="1986"/>
        <item x="522"/>
        <item x="1392"/>
        <item x="1394"/>
        <item x="1395"/>
        <item x="1544"/>
        <item x="1041"/>
        <item x="2097"/>
        <item x="2098"/>
        <item x="1153"/>
        <item x="495"/>
        <item x="75"/>
        <item x="518"/>
        <item x="755"/>
        <item x="1246"/>
        <item x="1521"/>
        <item x="1522"/>
        <item x="1443"/>
        <item x="1267"/>
        <item x="1863"/>
        <item x="271"/>
        <item x="2011"/>
        <item x="1502"/>
        <item x="2218"/>
        <item x="1518"/>
        <item x="1503"/>
        <item x="728"/>
        <item x="2327"/>
        <item x="1627"/>
        <item x="1558"/>
        <item x="270"/>
        <item x="269"/>
        <item x="1517"/>
        <item x="372"/>
        <item x="1423"/>
        <item x="1400"/>
        <item x="1772"/>
        <item x="1783"/>
        <item x="302"/>
        <item x="1103"/>
        <item x="1268"/>
        <item x="438"/>
        <item x="1432"/>
        <item x="855"/>
        <item x="1892"/>
        <item x="1833"/>
        <item x="1881"/>
        <item x="1325"/>
        <item x="1933"/>
        <item x="2300"/>
        <item x="1621"/>
        <item x="1113"/>
        <item x="1871"/>
        <item x="2181"/>
        <item x="1082"/>
        <item x="1081"/>
        <item x="1758"/>
        <item x="1126"/>
        <item x="1688"/>
        <item x="1495"/>
        <item x="2221"/>
        <item x="2222"/>
        <item x="1088"/>
        <item x="1861"/>
        <item x="1645"/>
        <item x="1894"/>
        <item x="408"/>
        <item x="1447"/>
        <item x="824"/>
        <item x="1099"/>
        <item x="1168"/>
        <item x="2174"/>
        <item x="2219"/>
        <item x="2301"/>
        <item x="86"/>
        <item x="117"/>
        <item x="2165"/>
        <item x="1386"/>
        <item x="628"/>
        <item x="2094"/>
        <item x="1434"/>
        <item x="2172"/>
        <item x="1779"/>
        <item x="1251"/>
        <item x="1751"/>
        <item x="594"/>
        <item x="1323"/>
        <item x="1331"/>
        <item x="1379"/>
        <item x="2359"/>
        <item x="1832"/>
        <item x="1381"/>
        <item x="1332"/>
        <item x="1333"/>
        <item x="573"/>
        <item x="1212"/>
        <item x="785"/>
        <item x="2120"/>
        <item x="1735"/>
        <item x="286"/>
        <item x="426"/>
        <item x="1778"/>
        <item x="774"/>
        <item x="807"/>
        <item x="897"/>
        <item x="1257"/>
        <item x="1730"/>
        <item x="2074"/>
        <item x="1005"/>
        <item x="1004"/>
        <item x="540"/>
        <item x="2305"/>
        <item x="2337"/>
        <item x="1896"/>
        <item x="1032"/>
        <item x="403"/>
        <item x="2048"/>
        <item x="1804"/>
        <item x="397"/>
        <item x="1777"/>
        <item x="257"/>
        <item x="2141"/>
        <item x="223"/>
        <item x="776"/>
        <item x="1664"/>
        <item x="1027"/>
        <item x="1298"/>
        <item x="97"/>
        <item x="1535"/>
        <item x="1537"/>
        <item x="1732"/>
        <item x="420"/>
        <item x="1471"/>
        <item x="376"/>
        <item x="1681"/>
        <item x="1128"/>
        <item x="2215"/>
        <item x="2062"/>
        <item x="1228"/>
        <item x="1729"/>
        <item x="1853"/>
        <item x="1302"/>
        <item x="1785"/>
        <item x="1123"/>
        <item x="566"/>
        <item x="633"/>
        <item x="1084"/>
        <item x="1134"/>
        <item x="1361"/>
        <item x="1114"/>
        <item x="935"/>
        <item x="1284"/>
        <item x="2035"/>
        <item x="2236"/>
        <item x="2149"/>
        <item x="907"/>
        <item x="2348"/>
        <item x="2338"/>
        <item x="2339"/>
        <item x="1194"/>
        <item x="1195"/>
        <item x="1972"/>
        <item x="768"/>
        <item x="1249"/>
        <item x="1788"/>
        <item x="1142"/>
        <item x="1510"/>
        <item x="1718"/>
        <item x="1222"/>
        <item x="49"/>
        <item x="2050"/>
        <item x="51"/>
        <item x="182"/>
        <item x="1184"/>
        <item x="742"/>
        <item x="452"/>
        <item x="783"/>
        <item x="1058"/>
        <item x="356"/>
        <item x="845"/>
        <item x="53"/>
        <item x="2231"/>
        <item x="2230"/>
        <item x="1188"/>
        <item x="1988"/>
        <item x="2113"/>
        <item x="368"/>
        <item x="2071"/>
        <item x="1056"/>
        <item x="1182"/>
        <item x="2373"/>
        <item x="1515"/>
        <item x="76"/>
        <item x="1847"/>
        <item x="1786"/>
        <item x="433"/>
        <item x="1364"/>
        <item x="1658"/>
        <item x="1656"/>
        <item x="1987"/>
        <item x="2065"/>
        <item x="1480"/>
        <item x="973"/>
        <item x="876"/>
        <item x="2214"/>
        <item x="1160"/>
        <item x="928"/>
        <item x="796"/>
        <item x="959"/>
        <item x="2380"/>
        <item t="default"/>
      </items>
    </pivotField>
    <pivotField axis="axisCol" showAll="0">
      <items count="6">
        <item x="1"/>
        <item x="3"/>
        <item x="0"/>
        <item x="2"/>
        <item x="4"/>
        <item t="default"/>
      </items>
    </pivotField>
  </pivotFields>
  <rowFields count="2">
    <field x="0"/>
    <field x="1"/>
  </rowFields>
  <rowItems count="115">
    <i>
      <x/>
    </i>
    <i r="1">
      <x v="2"/>
    </i>
    <i r="1">
      <x v="5"/>
    </i>
    <i r="1">
      <x v="16"/>
    </i>
    <i r="1">
      <x v="29"/>
    </i>
    <i r="1">
      <x v="41"/>
    </i>
    <i r="1">
      <x v="45"/>
    </i>
    <i r="1">
      <x v="52"/>
    </i>
    <i r="1">
      <x v="53"/>
    </i>
    <i r="1">
      <x v="59"/>
    </i>
    <i r="1">
      <x v="79"/>
    </i>
    <i>
      <x v="1"/>
    </i>
    <i r="1">
      <x v="11"/>
    </i>
    <i r="1">
      <x v="22"/>
    </i>
    <i r="1">
      <x v="24"/>
    </i>
    <i r="1">
      <x v="42"/>
    </i>
    <i r="1">
      <x v="82"/>
    </i>
    <i r="1">
      <x v="88"/>
    </i>
    <i r="1">
      <x v="93"/>
    </i>
    <i>
      <x v="2"/>
    </i>
    <i r="1">
      <x v="3"/>
    </i>
    <i r="1">
      <x v="10"/>
    </i>
    <i r="1">
      <x v="14"/>
    </i>
    <i r="1">
      <x v="15"/>
    </i>
    <i r="1">
      <x v="17"/>
    </i>
    <i r="1">
      <x v="18"/>
    </i>
    <i r="1">
      <x v="19"/>
    </i>
    <i r="1">
      <x v="25"/>
    </i>
    <i r="1">
      <x v="28"/>
    </i>
    <i r="1">
      <x v="37"/>
    </i>
    <i r="1">
      <x v="43"/>
    </i>
    <i r="1">
      <x v="68"/>
    </i>
    <i r="1">
      <x v="69"/>
    </i>
    <i>
      <x v="3"/>
    </i>
    <i r="1">
      <x/>
    </i>
    <i r="1">
      <x v="1"/>
    </i>
    <i r="1">
      <x v="4"/>
    </i>
    <i r="1">
      <x v="6"/>
    </i>
    <i r="1">
      <x v="12"/>
    </i>
    <i r="1">
      <x v="34"/>
    </i>
    <i r="1">
      <x v="57"/>
    </i>
    <i r="1">
      <x v="86"/>
    </i>
    <i r="1">
      <x v="92"/>
    </i>
    <i>
      <x v="4"/>
    </i>
    <i r="1">
      <x v="8"/>
    </i>
    <i r="1">
      <x v="48"/>
    </i>
    <i r="1">
      <x v="49"/>
    </i>
    <i r="1">
      <x v="51"/>
    </i>
    <i>
      <x v="5"/>
    </i>
    <i r="1">
      <x v="20"/>
    </i>
    <i r="1">
      <x v="50"/>
    </i>
    <i r="1">
      <x v="64"/>
    </i>
    <i r="1">
      <x v="65"/>
    </i>
    <i r="1">
      <x v="72"/>
    </i>
    <i r="1">
      <x v="75"/>
    </i>
    <i r="1">
      <x v="85"/>
    </i>
    <i r="1">
      <x v="87"/>
    </i>
    <i>
      <x v="6"/>
    </i>
    <i r="1">
      <x v="21"/>
    </i>
    <i r="1">
      <x v="33"/>
    </i>
    <i r="1">
      <x v="40"/>
    </i>
    <i r="1">
      <x v="44"/>
    </i>
    <i r="1">
      <x v="46"/>
    </i>
    <i r="1">
      <x v="56"/>
    </i>
    <i r="1">
      <x v="60"/>
    </i>
    <i r="1">
      <x v="66"/>
    </i>
    <i r="1">
      <x v="67"/>
    </i>
    <i r="1">
      <x v="76"/>
    </i>
    <i r="1">
      <x v="77"/>
    </i>
    <i r="1">
      <x v="84"/>
    </i>
    <i>
      <x v="7"/>
    </i>
    <i r="1">
      <x v="26"/>
    </i>
    <i r="1">
      <x v="27"/>
    </i>
    <i r="1">
      <x v="35"/>
    </i>
    <i r="1">
      <x v="38"/>
    </i>
    <i r="1">
      <x v="47"/>
    </i>
    <i r="1">
      <x v="70"/>
    </i>
    <i r="1">
      <x v="74"/>
    </i>
    <i r="1">
      <x v="78"/>
    </i>
    <i r="1">
      <x v="89"/>
    </i>
    <i r="1">
      <x v="90"/>
    </i>
    <i r="1">
      <x v="91"/>
    </i>
    <i>
      <x v="8"/>
    </i>
    <i r="1">
      <x v="7"/>
    </i>
    <i r="1">
      <x v="13"/>
    </i>
    <i r="1">
      <x v="23"/>
    </i>
    <i r="1">
      <x v="30"/>
    </i>
    <i r="1">
      <x v="31"/>
    </i>
    <i r="1">
      <x v="39"/>
    </i>
    <i r="1">
      <x v="54"/>
    </i>
    <i r="1">
      <x v="63"/>
    </i>
    <i r="1">
      <x v="81"/>
    </i>
    <i r="1">
      <x v="83"/>
    </i>
    <i r="1">
      <x v="94"/>
    </i>
    <i r="1">
      <x v="95"/>
    </i>
    <i r="1">
      <x v="96"/>
    </i>
    <i r="1">
      <x v="97"/>
    </i>
    <i>
      <x v="9"/>
    </i>
    <i r="1">
      <x v="9"/>
    </i>
    <i r="1">
      <x v="32"/>
    </i>
    <i r="1">
      <x v="36"/>
    </i>
    <i r="1">
      <x v="55"/>
    </i>
    <i r="1">
      <x v="58"/>
    </i>
    <i r="1">
      <x v="61"/>
    </i>
    <i r="1">
      <x v="62"/>
    </i>
    <i r="1">
      <x v="71"/>
    </i>
    <i r="1">
      <x v="73"/>
    </i>
    <i r="1">
      <x v="80"/>
    </i>
    <i r="1">
      <x v="98"/>
    </i>
    <i r="1">
      <x v="99"/>
    </i>
    <i r="1">
      <x v="100"/>
    </i>
    <i r="1">
      <x v="101"/>
    </i>
    <i>
      <x v="10"/>
    </i>
    <i r="1">
      <x v="10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ntal af Nav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4BDC0-2439-4B61-9A6E-54D900D2BA5A}" name="Tabel1" displayName="Tabel1" ref="A3:F28" totalsRowShown="0">
  <autoFilter ref="A3:F28" xr:uid="{E2C4BDC0-2439-4B61-9A6E-54D900D2BA5A}"/>
  <tableColumns count="6">
    <tableColumn id="1" xr3:uid="{F1FB862E-70E2-48DC-A4C8-B97CA8A07CF2}" name="Stift"/>
    <tableColumn id="2" xr3:uid="{4AB76D27-4A93-4A4F-A1B2-3BC0CE45D9B1}" name="Provsti"/>
    <tableColumn id="3" xr3:uid="{DAF798B5-F88B-4CC3-9B54-794FA1BD3DC6}" name="Sognekode"/>
    <tableColumn id="4" xr3:uid="{CA64FB14-D777-4951-B53F-D63A04A161BF}" name="Sogn"/>
    <tableColumn id="5" xr3:uid="{3CB0BB6D-4D7B-4A84-9F5F-982BB819D86A}" name="Navn"/>
    <tableColumn id="6" xr3:uid="{291DA420-10CA-4575-B9C6-8BEF03665028}" name="Kirke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5-27T09:45:09.37" personId="{AD827F55-AB9E-4D49-99AB-E14F19A9C224}" id="{DBFE56AC-9254-4D97-A75D-EFA04E3BA075}">
    <text xml:space="preserve">Odense kommune
</text>
  </threadedComment>
  <threadedComment ref="G9" dT="2026-05-27T09:44:30.16" personId="{AD827F55-AB9E-4D49-99AB-E14F19A9C224}" id="{16B3F6F2-6FA0-4F2E-8260-D48D15916BE7}">
    <text>Faaborg-Midtfyn kommune</text>
  </threadedComment>
  <threadedComment ref="G35" dT="2026-05-27T09:45:57.69" personId="{AD827F55-AB9E-4D49-99AB-E14F19A9C224}" id="{D908D1D0-E0BB-4934-AE8C-D180E856EEA6}">
    <text>Københavns kommune</text>
  </threadedComment>
  <threadedComment ref="G37" dT="2026-05-27T09:45:36.05" personId="{AD827F55-AB9E-4D49-99AB-E14F19A9C224}" id="{5C135DC7-FDF0-492A-A602-A92E5B85E6A9}">
    <text>Københavns kommune</text>
  </threadedComment>
  <threadedComment ref="G40" dT="2026-05-27T09:46:23.31" personId="{AD827F55-AB9E-4D49-99AB-E14F19A9C224}" id="{445E80BD-9753-4381-878E-7505578EF89A}">
    <text xml:space="preserve">Københavns kommune
</text>
  </threadedComment>
  <threadedComment ref="G41" dT="2026-05-27T09:45:25.38" personId="{AD827F55-AB9E-4D49-99AB-E14F19A9C224}" id="{321B11C1-658E-489C-AA05-D15966ECBD15}">
    <text>Københavns kommune</text>
  </threadedComment>
  <threadedComment ref="G42" dT="2026-05-27T09:45:44.90" personId="{AD827F55-AB9E-4D49-99AB-E14F19A9C224}" id="{6453F383-935F-4F94-BA58-752858038FA7}">
    <text>Københavns kommune</text>
  </threadedComment>
  <threadedComment ref="G43" dT="2026-05-27T09:46:11.52" personId="{AD827F55-AB9E-4D49-99AB-E14F19A9C224}" id="{18AF048D-5669-4D46-A085-3BAF03A212DC}">
    <text>Københavns kommune</text>
  </threadedComment>
  <threadedComment ref="G45" dT="2026-05-27T09:41:54.69" personId="{AD827F55-AB9E-4D49-99AB-E14F19A9C224}" id="{839E8D4B-2BDC-47F0-8511-08B812C915A7}">
    <text xml:space="preserve">Guldborgsund kommune
</text>
  </threadedComment>
  <threadedComment ref="G46" dT="2026-05-27T09:41:17.60" personId="{AD827F55-AB9E-4D49-99AB-E14F19A9C224}" id="{8B7BB026-5380-4AAF-9457-93F2C95BD9AD}">
    <text>Lolland kommune</text>
  </threadedComment>
  <threadedComment ref="G47" dT="2026-05-27T09:43:08.19" personId="{AD827F55-AB9E-4D49-99AB-E14F19A9C224}" id="{E7967891-C207-49D0-9726-91DFA27C6839}">
    <text>Guldborgsund kommune</text>
  </threadedComment>
  <threadedComment ref="G48" dT="2026-05-27T09:41:26.67" personId="{AD827F55-AB9E-4D49-99AB-E14F19A9C224}" id="{3352389F-8739-44E9-8700-4ECCD8DE5E6D}">
    <text>Lolland kommune</text>
  </threadedComment>
  <threadedComment ref="G53" dT="2026-05-27T09:40:20.50" personId="{AD827F55-AB9E-4D49-99AB-E14F19A9C224}" id="{32F009BB-6D85-4879-8F14-5B74C7F110D7}">
    <text xml:space="preserve">Holstebro-Ringkøbing Kommune
</text>
  </threadedComment>
  <threadedComment ref="G55" dT="2026-05-27T09:40:02.26" personId="{AD827F55-AB9E-4D49-99AB-E14F19A9C224}" id="{1C46A281-2613-47E0-909E-9BDFB9018673}">
    <text xml:space="preserve">Ringkøbing-Skjern Kommune
</text>
  </threadedComment>
  <threadedComment ref="G73" dT="2026-05-27T09:48:38.82" personId="{AD827F55-AB9E-4D49-99AB-E14F19A9C224}" id="{1C172088-F821-49B8-B039-C0834F5C0305}">
    <text>Herning kommune</text>
  </threadedComment>
  <threadedComment ref="G78" dT="2026-05-27T09:48:25.38" personId="{AD827F55-AB9E-4D49-99AB-E14F19A9C224}" id="{8199343B-6381-4E13-9AA3-EBE4A98A35A2}">
    <text>Ligger under Salling samme kommune</text>
  </threadedComment>
  <threadedComment ref="G82" dT="2026-05-27T09:48:04.06" personId="{AD827F55-AB9E-4D49-99AB-E14F19A9C224}" id="{569F9609-E182-43CE-A996-9B7403CA06A0}">
    <text>Viborg kommune</text>
  </threadedComment>
  <threadedComment ref="G86" dT="2026-05-27T09:40:57.82" personId="{AD827F55-AB9E-4D49-99AB-E14F19A9C224}" id="{9674D32A-6952-4652-92CE-7D1F42ACB028}">
    <text>Mariagerfjord kommune</text>
  </threadedComment>
  <threadedComment ref="G88" dT="2026-05-27T09:47:49.34" personId="{AD827F55-AB9E-4D49-99AB-E14F19A9C224}" id="{930A5C7B-03B8-41CA-B63A-DD369237A16E}">
    <text>Hjørring kommune</text>
  </threadedComment>
  <threadedComment ref="G92" dT="2026-05-27T09:47:22.08" personId="{AD827F55-AB9E-4D49-99AB-E14F19A9C224}" id="{AF7C4160-5464-4CFE-858E-009196A0BCEB}">
    <text>Thisted kommune</text>
  </threadedComment>
  <threadedComment ref="G95" dT="2026-05-27T09:46:42.87" personId="{AD827F55-AB9E-4D49-99AB-E14F19A9C224}" id="{C81455D7-5197-441B-A152-149EBE1DD6E7}">
    <text>Aalborg kommune</text>
  </threadedComment>
  <threadedComment ref="G96" dT="2026-05-27T09:46:52.08" personId="{AD827F55-AB9E-4D49-99AB-E14F19A9C224}" id="{F26CF963-E0F2-41C6-BBC3-EEB882F0F2FE}">
    <text>Aalborg kommune</text>
  </threadedComment>
  <threadedComment ref="G97" dT="2026-05-27T09:47:34.51" personId="{AD827F55-AB9E-4D49-99AB-E14F19A9C224}" id="{BEDEEE12-F051-4876-9F29-91B9F787CCD9}">
    <text>Aalborg kommune</text>
  </threadedComment>
  <threadedComment ref="G100" dT="2026-05-27T09:40:39.27" personId="{AD827F55-AB9E-4D49-99AB-E14F19A9C224}" id="{F1957EA4-118A-491C-8442-E0F124432938}">
    <text>Mariagerfjord kommune</text>
  </threadedComment>
  <threadedComment ref="G104" dT="2026-05-27T09:49:05.76" personId="{AD827F55-AB9E-4D49-99AB-E14F19A9C224}" id="{5C1537A2-9749-413D-A36E-898C435D0F5C}">
    <text>Randers kommune</text>
  </threadedComment>
  <threadedComment ref="G110" dT="2026-05-27T09:48:53.67" personId="{AD827F55-AB9E-4D49-99AB-E14F19A9C224}" id="{102A7991-3823-44D6-9F9E-28548EDB857C}">
    <text>Århus kommune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2862-4AF5-411A-A43D-605156B56C1F}">
  <sheetPr>
    <pageSetUpPr fitToPage="1"/>
  </sheetPr>
  <dimension ref="A1:N123"/>
  <sheetViews>
    <sheetView tabSelected="1" zoomScale="98" zoomScaleNormal="98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P116" sqref="P116"/>
    </sheetView>
  </sheetViews>
  <sheetFormatPr defaultRowHeight="14.5" x14ac:dyDescent="0.35"/>
  <cols>
    <col min="1" max="1" width="14.453125" bestFit="1" customWidth="1"/>
    <col min="2" max="2" width="31.54296875" bestFit="1" customWidth="1"/>
    <col min="3" max="3" width="13.26953125" style="35" bestFit="1" customWidth="1"/>
    <col min="4" max="5" width="10.54296875" style="35" customWidth="1"/>
    <col min="6" max="6" width="16.453125" style="2" bestFit="1" customWidth="1"/>
    <col min="7" max="7" width="13.1796875" style="16" bestFit="1" customWidth="1"/>
    <col min="8" max="8" width="12.81640625" style="16" customWidth="1"/>
    <col min="9" max="9" width="9.453125" customWidth="1"/>
    <col min="10" max="10" width="11.26953125" bestFit="1" customWidth="1"/>
    <col min="11" max="11" width="10.1796875" bestFit="1" customWidth="1"/>
    <col min="13" max="13" width="15.81640625" style="35" customWidth="1"/>
    <col min="14" max="14" width="15.1796875" style="28" bestFit="1" customWidth="1"/>
  </cols>
  <sheetData>
    <row r="1" spans="1:14" ht="72.5" x14ac:dyDescent="0.35">
      <c r="A1" s="12" t="s">
        <v>227</v>
      </c>
      <c r="B1" s="12" t="s">
        <v>231</v>
      </c>
      <c r="C1" s="32" t="s">
        <v>228</v>
      </c>
      <c r="D1" s="33" t="s">
        <v>229</v>
      </c>
      <c r="E1" s="33" t="s">
        <v>230</v>
      </c>
      <c r="F1" s="25" t="s">
        <v>400</v>
      </c>
      <c r="G1" s="15" t="s">
        <v>232</v>
      </c>
      <c r="H1" s="26" t="s">
        <v>233</v>
      </c>
      <c r="I1" s="24" t="s">
        <v>401</v>
      </c>
      <c r="J1" s="24" t="s">
        <v>413</v>
      </c>
      <c r="K1" s="24" t="s">
        <v>359</v>
      </c>
      <c r="L1" s="24" t="s">
        <v>240</v>
      </c>
      <c r="M1" s="33" t="s">
        <v>399</v>
      </c>
      <c r="N1" s="29" t="s">
        <v>485</v>
      </c>
    </row>
    <row r="2" spans="1:14" x14ac:dyDescent="0.35">
      <c r="A2" t="s">
        <v>236</v>
      </c>
      <c r="B2" s="13" t="s">
        <v>243</v>
      </c>
      <c r="C2" s="34">
        <v>32527</v>
      </c>
      <c r="D2" s="34">
        <v>7526</v>
      </c>
      <c r="E2" s="35">
        <f t="shared" ref="E2:E11" si="0">C2+D2</f>
        <v>40053</v>
      </c>
      <c r="F2" s="2">
        <f t="shared" ref="F2:F33" si="1">C2/E2</f>
        <v>0.81209896886625221</v>
      </c>
      <c r="G2" s="16">
        <f>'Lokal ligning'!F50</f>
        <v>59205430.019720152</v>
      </c>
      <c r="H2" s="16">
        <f t="shared" ref="H2:H33" si="2">G2*1%</f>
        <v>592054.30019720155</v>
      </c>
      <c r="I2">
        <v>22</v>
      </c>
      <c r="J2">
        <v>31</v>
      </c>
      <c r="K2">
        <v>16</v>
      </c>
      <c r="L2">
        <v>18</v>
      </c>
      <c r="M2" s="35">
        <f>Befolkning!G51</f>
        <v>-1345</v>
      </c>
    </row>
    <row r="3" spans="1:14" x14ac:dyDescent="0.35">
      <c r="A3" t="s">
        <v>236</v>
      </c>
      <c r="B3" s="13" t="s">
        <v>244</v>
      </c>
      <c r="C3" s="34">
        <v>24016</v>
      </c>
      <c r="D3" s="34">
        <v>5376</v>
      </c>
      <c r="E3" s="35">
        <f t="shared" si="0"/>
        <v>29392</v>
      </c>
      <c r="F3" s="2">
        <f t="shared" si="1"/>
        <v>0.81709308655416435</v>
      </c>
      <c r="G3" s="16">
        <f>'Lokal ligning'!F56</f>
        <v>45762202.050269492</v>
      </c>
      <c r="H3" s="16">
        <f t="shared" si="2"/>
        <v>457622.02050269494</v>
      </c>
      <c r="I3">
        <v>18</v>
      </c>
      <c r="J3">
        <v>30</v>
      </c>
      <c r="K3">
        <v>11</v>
      </c>
      <c r="L3">
        <v>14</v>
      </c>
      <c r="M3" s="35">
        <f>Befolkning!G56</f>
        <v>-902</v>
      </c>
    </row>
    <row r="4" spans="1:14" x14ac:dyDescent="0.35">
      <c r="A4" t="s">
        <v>236</v>
      </c>
      <c r="B4" s="13" t="s">
        <v>245</v>
      </c>
      <c r="C4" s="34">
        <v>17515</v>
      </c>
      <c r="D4" s="34">
        <v>4442</v>
      </c>
      <c r="E4" s="35">
        <f t="shared" si="0"/>
        <v>21957</v>
      </c>
      <c r="F4" s="2">
        <f t="shared" si="1"/>
        <v>0.79769549574167686</v>
      </c>
      <c r="G4" s="16">
        <f>'Lokal ligning'!F51</f>
        <v>76840258.812045783</v>
      </c>
      <c r="H4" s="16">
        <f t="shared" si="2"/>
        <v>768402.58812045783</v>
      </c>
      <c r="I4">
        <v>14</v>
      </c>
      <c r="J4">
        <v>20</v>
      </c>
      <c r="K4">
        <v>9</v>
      </c>
      <c r="L4">
        <v>10</v>
      </c>
      <c r="M4" s="35">
        <f>Befolkning!G52</f>
        <v>455</v>
      </c>
    </row>
    <row r="5" spans="1:14" x14ac:dyDescent="0.35">
      <c r="A5" t="s">
        <v>236</v>
      </c>
      <c r="B5" s="13" t="s">
        <v>246</v>
      </c>
      <c r="C5" s="34">
        <v>79163</v>
      </c>
      <c r="D5" s="34">
        <v>25551</v>
      </c>
      <c r="E5" s="35">
        <f t="shared" si="0"/>
        <v>104714</v>
      </c>
      <c r="F5" s="2">
        <f t="shared" si="1"/>
        <v>0.75599251294000802</v>
      </c>
      <c r="H5" s="16">
        <f t="shared" si="2"/>
        <v>0</v>
      </c>
      <c r="I5">
        <v>20</v>
      </c>
      <c r="J5">
        <v>27</v>
      </c>
      <c r="K5">
        <v>17</v>
      </c>
      <c r="L5">
        <v>36</v>
      </c>
      <c r="M5" s="34"/>
    </row>
    <row r="6" spans="1:14" x14ac:dyDescent="0.35">
      <c r="A6" t="s">
        <v>236</v>
      </c>
      <c r="B6" s="13" t="s">
        <v>247</v>
      </c>
      <c r="C6" s="34">
        <v>44413</v>
      </c>
      <c r="D6" s="34">
        <v>12358</v>
      </c>
      <c r="E6" s="35">
        <f t="shared" si="0"/>
        <v>56771</v>
      </c>
      <c r="F6" s="2">
        <f t="shared" si="1"/>
        <v>0.78231843723027605</v>
      </c>
      <c r="G6" s="16">
        <f>'Lokal ligning'!F53+'Lokal ligning'!F52</f>
        <v>81248872.310172439</v>
      </c>
      <c r="H6" s="16">
        <f t="shared" si="2"/>
        <v>812488.7231017244</v>
      </c>
      <c r="I6">
        <v>18</v>
      </c>
      <c r="J6">
        <v>39</v>
      </c>
      <c r="K6">
        <v>18</v>
      </c>
      <c r="L6">
        <v>21</v>
      </c>
      <c r="M6" s="35">
        <f>Befolkning!G57+Befolkning!G53</f>
        <v>-257</v>
      </c>
    </row>
    <row r="7" spans="1:14" x14ac:dyDescent="0.35">
      <c r="A7" t="s">
        <v>236</v>
      </c>
      <c r="B7" s="13" t="s">
        <v>248</v>
      </c>
      <c r="C7" s="34">
        <v>13767</v>
      </c>
      <c r="D7" s="34">
        <v>3789</v>
      </c>
      <c r="E7" s="35">
        <f t="shared" si="0"/>
        <v>17556</v>
      </c>
      <c r="F7" s="2">
        <f t="shared" si="1"/>
        <v>0.78417634996582364</v>
      </c>
      <c r="G7" s="16">
        <f>'Lokal ligning'!F57+'Lokal ligning'!F58</f>
        <v>28842800.059237465</v>
      </c>
      <c r="H7" s="16">
        <f t="shared" si="2"/>
        <v>288428.00059237465</v>
      </c>
      <c r="I7">
        <v>9</v>
      </c>
      <c r="J7">
        <v>30</v>
      </c>
      <c r="K7">
        <v>7</v>
      </c>
      <c r="L7">
        <v>11</v>
      </c>
      <c r="M7" s="35">
        <f>Befolkning!G60+Befolkning!G54</f>
        <v>-1254</v>
      </c>
    </row>
    <row r="8" spans="1:14" x14ac:dyDescent="0.35">
      <c r="A8" t="s">
        <v>236</v>
      </c>
      <c r="B8" s="13" t="s">
        <v>249</v>
      </c>
      <c r="C8" s="34">
        <v>33146</v>
      </c>
      <c r="D8" s="34">
        <v>7460</v>
      </c>
      <c r="E8" s="35">
        <f t="shared" si="0"/>
        <v>40606</v>
      </c>
      <c r="F8" s="2">
        <f t="shared" si="1"/>
        <v>0.81628330788553416</v>
      </c>
      <c r="G8" s="16">
        <f>'Lokal ligning'!F49</f>
        <v>58156085.343216345</v>
      </c>
      <c r="H8" s="16">
        <f t="shared" si="2"/>
        <v>581560.85343216348</v>
      </c>
      <c r="I8">
        <v>13</v>
      </c>
      <c r="J8">
        <v>24</v>
      </c>
      <c r="K8">
        <v>10</v>
      </c>
      <c r="L8">
        <v>13</v>
      </c>
      <c r="M8" s="35">
        <f>Befolkning!G55</f>
        <v>2135</v>
      </c>
    </row>
    <row r="9" spans="1:14" x14ac:dyDescent="0.35">
      <c r="A9" t="s">
        <v>236</v>
      </c>
      <c r="B9" s="13" t="s">
        <v>250</v>
      </c>
      <c r="C9" s="34">
        <v>24467</v>
      </c>
      <c r="D9" s="34">
        <v>5849</v>
      </c>
      <c r="E9" s="35">
        <f t="shared" si="0"/>
        <v>30316</v>
      </c>
      <c r="F9" s="2">
        <f t="shared" si="1"/>
        <v>0.80706557593350048</v>
      </c>
      <c r="H9" s="16">
        <f t="shared" si="2"/>
        <v>0</v>
      </c>
      <c r="I9">
        <v>13</v>
      </c>
      <c r="J9">
        <v>23</v>
      </c>
      <c r="K9">
        <v>11</v>
      </c>
      <c r="L9">
        <v>8</v>
      </c>
      <c r="M9" s="34"/>
    </row>
    <row r="10" spans="1:14" x14ac:dyDescent="0.35">
      <c r="A10" t="s">
        <v>236</v>
      </c>
      <c r="B10" s="13" t="s">
        <v>251</v>
      </c>
      <c r="C10" s="34">
        <v>70051</v>
      </c>
      <c r="D10" s="34">
        <v>38666</v>
      </c>
      <c r="E10" s="35">
        <f t="shared" si="0"/>
        <v>108717</v>
      </c>
      <c r="F10" s="2">
        <f t="shared" si="1"/>
        <v>0.64434265110332334</v>
      </c>
      <c r="G10" s="16">
        <f>'Lokal ligning'!F54</f>
        <v>174147858.92251512</v>
      </c>
      <c r="H10" s="16">
        <f t="shared" si="2"/>
        <v>1741478.5892251513</v>
      </c>
      <c r="I10">
        <v>11</v>
      </c>
      <c r="J10">
        <v>17</v>
      </c>
      <c r="K10">
        <v>11</v>
      </c>
      <c r="L10">
        <v>26</v>
      </c>
      <c r="M10" s="35">
        <f>Befolkning!G58</f>
        <v>8432</v>
      </c>
    </row>
    <row r="11" spans="1:14" x14ac:dyDescent="0.35">
      <c r="A11" t="s">
        <v>236</v>
      </c>
      <c r="B11" s="13" t="s">
        <v>252</v>
      </c>
      <c r="C11" s="34">
        <v>45484</v>
      </c>
      <c r="D11" s="34">
        <v>14580</v>
      </c>
      <c r="E11" s="35">
        <f t="shared" si="0"/>
        <v>60064</v>
      </c>
      <c r="F11" s="2">
        <f t="shared" si="1"/>
        <v>0.75725892381459781</v>
      </c>
      <c r="G11" s="16">
        <f>'Lokal ligning'!F55</f>
        <v>84114012.407959491</v>
      </c>
      <c r="H11" s="16">
        <f t="shared" si="2"/>
        <v>841140.12407959497</v>
      </c>
      <c r="I11">
        <v>19</v>
      </c>
      <c r="J11">
        <v>34</v>
      </c>
      <c r="K11">
        <v>18</v>
      </c>
      <c r="L11">
        <v>20</v>
      </c>
      <c r="M11" s="35">
        <f>Befolkning!G59</f>
        <v>2727</v>
      </c>
    </row>
    <row r="12" spans="1:14" x14ac:dyDescent="0.35">
      <c r="A12" s="12" t="s">
        <v>236</v>
      </c>
      <c r="C12" s="32">
        <f>SUM(C2:C11)</f>
        <v>384549</v>
      </c>
      <c r="D12" s="32">
        <f>SUM(D2:D11)</f>
        <v>125597</v>
      </c>
      <c r="E12" s="32">
        <f>SUM(E2:E11)</f>
        <v>510146</v>
      </c>
      <c r="F12" s="14">
        <f t="shared" si="1"/>
        <v>0.75380185280292311</v>
      </c>
      <c r="G12" s="15">
        <f>SUM(G2:G11)</f>
        <v>608317519.92513633</v>
      </c>
      <c r="H12" s="15">
        <f t="shared" si="2"/>
        <v>6083175.1992513631</v>
      </c>
      <c r="I12" s="22">
        <f>SUM(I2:I11)</f>
        <v>157</v>
      </c>
      <c r="J12" s="22">
        <f>SUM(J2:J11)</f>
        <v>275</v>
      </c>
      <c r="K12" s="22">
        <f>SUM(K2:K11)</f>
        <v>128</v>
      </c>
      <c r="L12" s="22">
        <f>SUM(L2:L11)+1</f>
        <v>178</v>
      </c>
      <c r="M12" s="32">
        <f>SUM(M2:M11)</f>
        <v>9991</v>
      </c>
      <c r="N12" s="30">
        <f>M12/E12</f>
        <v>1.9584589509669782E-2</v>
      </c>
    </row>
    <row r="13" spans="1:14" x14ac:dyDescent="0.35">
      <c r="A13" t="s">
        <v>178</v>
      </c>
      <c r="B13" s="13" t="s">
        <v>254</v>
      </c>
      <c r="C13" s="34">
        <v>39397</v>
      </c>
      <c r="D13" s="34">
        <v>13523</v>
      </c>
      <c r="E13" s="35">
        <f t="shared" ref="E13:E19" si="3">C13+D13</f>
        <v>52920</v>
      </c>
      <c r="F13" s="2">
        <f t="shared" si="1"/>
        <v>0.74446334089191235</v>
      </c>
      <c r="G13" s="16">
        <f>'Lokal ligning'!F68</f>
        <v>67414747.68791312</v>
      </c>
      <c r="H13" s="16">
        <f t="shared" si="2"/>
        <v>674147.47687913117</v>
      </c>
      <c r="I13">
        <v>10</v>
      </c>
      <c r="J13">
        <v>14</v>
      </c>
      <c r="K13">
        <v>10</v>
      </c>
      <c r="L13">
        <v>20</v>
      </c>
      <c r="M13" s="35">
        <f>Befolkning!G64</f>
        <v>1621</v>
      </c>
    </row>
    <row r="14" spans="1:14" x14ac:dyDescent="0.35">
      <c r="A14" t="s">
        <v>178</v>
      </c>
      <c r="B14" s="13" t="s">
        <v>255</v>
      </c>
      <c r="C14" s="34">
        <v>42941</v>
      </c>
      <c r="D14" s="34">
        <v>12187</v>
      </c>
      <c r="E14" s="35">
        <f t="shared" si="3"/>
        <v>55128</v>
      </c>
      <c r="F14" s="2">
        <f t="shared" si="1"/>
        <v>0.77893266579596576</v>
      </c>
      <c r="G14" s="16">
        <f>'Lokal ligning'!F59</f>
        <v>77002240.380505651</v>
      </c>
      <c r="H14" s="16">
        <f t="shared" si="2"/>
        <v>770022.40380505647</v>
      </c>
      <c r="I14">
        <v>25</v>
      </c>
      <c r="J14">
        <v>32</v>
      </c>
      <c r="K14">
        <v>18</v>
      </c>
      <c r="L14">
        <v>27</v>
      </c>
      <c r="M14" s="35">
        <f>Befolkning!G65</f>
        <v>-2353</v>
      </c>
    </row>
    <row r="15" spans="1:14" x14ac:dyDescent="0.35">
      <c r="A15" t="s">
        <v>178</v>
      </c>
      <c r="B15" s="13" t="s">
        <v>256</v>
      </c>
      <c r="C15" s="34">
        <v>38907</v>
      </c>
      <c r="D15" s="34">
        <v>9677</v>
      </c>
      <c r="E15" s="35">
        <f t="shared" si="3"/>
        <v>48584</v>
      </c>
      <c r="F15" s="2">
        <f t="shared" si="1"/>
        <v>0.80081919973653881</v>
      </c>
      <c r="G15" s="16">
        <f>'Lokal ligning'!F87</f>
        <v>70743247.576944292</v>
      </c>
      <c r="H15" s="16">
        <f t="shared" si="2"/>
        <v>707432.47576944297</v>
      </c>
      <c r="I15">
        <v>20</v>
      </c>
      <c r="J15">
        <v>37</v>
      </c>
      <c r="K15">
        <v>16</v>
      </c>
      <c r="L15">
        <v>22</v>
      </c>
      <c r="M15" s="35">
        <f>Befolkning!G74</f>
        <v>3856</v>
      </c>
    </row>
    <row r="16" spans="1:14" x14ac:dyDescent="0.35">
      <c r="A16" t="s">
        <v>178</v>
      </c>
      <c r="B16" s="13" t="s">
        <v>257</v>
      </c>
      <c r="C16" s="34">
        <v>71735</v>
      </c>
      <c r="D16" s="34">
        <v>24560</v>
      </c>
      <c r="E16" s="35">
        <f t="shared" si="3"/>
        <v>96295</v>
      </c>
      <c r="F16" s="2">
        <f t="shared" si="1"/>
        <v>0.74495041279401841</v>
      </c>
      <c r="G16" s="16">
        <f>'Lokal ligning'!F70</f>
        <v>127013158.95820527</v>
      </c>
      <c r="H16" s="16">
        <f t="shared" si="2"/>
        <v>1270131.5895820528</v>
      </c>
      <c r="I16">
        <v>24</v>
      </c>
      <c r="J16">
        <v>39</v>
      </c>
      <c r="K16">
        <v>22</v>
      </c>
      <c r="L16">
        <v>34</v>
      </c>
      <c r="M16" s="35">
        <f>Befolkning!G66</f>
        <v>3042</v>
      </c>
    </row>
    <row r="17" spans="1:14" x14ac:dyDescent="0.35">
      <c r="A17" t="s">
        <v>178</v>
      </c>
      <c r="B17" s="13" t="s">
        <v>258</v>
      </c>
      <c r="C17" s="34">
        <v>54438</v>
      </c>
      <c r="D17" s="34">
        <v>19569</v>
      </c>
      <c r="E17" s="35">
        <f t="shared" si="3"/>
        <v>74007</v>
      </c>
      <c r="F17" s="2">
        <f t="shared" si="1"/>
        <v>0.73557906684502816</v>
      </c>
      <c r="G17" s="16">
        <f>'Lokal ligning'!F61</f>
        <v>96872301.038455099</v>
      </c>
      <c r="H17" s="16">
        <f t="shared" si="2"/>
        <v>968723.01038455102</v>
      </c>
      <c r="I17">
        <v>23</v>
      </c>
      <c r="J17">
        <v>36</v>
      </c>
      <c r="K17">
        <v>20</v>
      </c>
      <c r="L17">
        <v>27</v>
      </c>
      <c r="M17" s="35">
        <f>Befolkning!G67</f>
        <v>-3222</v>
      </c>
    </row>
    <row r="18" spans="1:14" x14ac:dyDescent="0.35">
      <c r="A18" t="s">
        <v>178</v>
      </c>
      <c r="B18" s="13" t="s">
        <v>259</v>
      </c>
      <c r="C18" s="34">
        <v>76427</v>
      </c>
      <c r="D18" s="34">
        <v>29376</v>
      </c>
      <c r="E18" s="35">
        <f t="shared" si="3"/>
        <v>105803</v>
      </c>
      <c r="F18" s="2">
        <f t="shared" si="1"/>
        <v>0.72235191818757505</v>
      </c>
      <c r="G18" s="16">
        <f>'Lokal ligning'!F71</f>
        <v>157938058.87562767</v>
      </c>
      <c r="H18" s="16">
        <f t="shared" si="2"/>
        <v>1579380.5887562768</v>
      </c>
      <c r="I18">
        <v>24</v>
      </c>
      <c r="J18">
        <v>38</v>
      </c>
      <c r="K18">
        <v>23</v>
      </c>
      <c r="L18">
        <v>40</v>
      </c>
      <c r="M18" s="35">
        <f>Befolkning!G71</f>
        <v>9448</v>
      </c>
    </row>
    <row r="19" spans="1:14" x14ac:dyDescent="0.35">
      <c r="A19" t="s">
        <v>178</v>
      </c>
      <c r="B19" s="13" t="s">
        <v>260</v>
      </c>
      <c r="C19" s="34">
        <v>42800</v>
      </c>
      <c r="D19" s="34">
        <v>15495</v>
      </c>
      <c r="E19" s="35">
        <f t="shared" si="3"/>
        <v>58295</v>
      </c>
      <c r="F19" s="2">
        <f t="shared" si="1"/>
        <v>0.73419675786945704</v>
      </c>
      <c r="G19" s="16">
        <f>'Lokal ligning'!F67</f>
        <v>76710979.672564745</v>
      </c>
      <c r="H19" s="16">
        <f t="shared" si="2"/>
        <v>767109.79672564741</v>
      </c>
      <c r="I19">
        <v>19</v>
      </c>
      <c r="J19">
        <v>26</v>
      </c>
      <c r="K19">
        <v>16</v>
      </c>
      <c r="L19">
        <v>24</v>
      </c>
      <c r="M19" s="35">
        <f>Befolkning!G72</f>
        <v>-2774</v>
      </c>
    </row>
    <row r="20" spans="1:14" x14ac:dyDescent="0.35">
      <c r="A20" s="12" t="s">
        <v>178</v>
      </c>
      <c r="B20" s="12"/>
      <c r="C20" s="32">
        <f>SUM(C13:C19)</f>
        <v>366645</v>
      </c>
      <c r="D20" s="32">
        <f>SUM(D13:D19)</f>
        <v>124387</v>
      </c>
      <c r="E20" s="32">
        <f>SUM(E13:E19)</f>
        <v>491032</v>
      </c>
      <c r="F20" s="14">
        <f t="shared" si="1"/>
        <v>0.74668249727105362</v>
      </c>
      <c r="G20" s="15">
        <f>SUM(G13:G19)</f>
        <v>673694734.19021583</v>
      </c>
      <c r="H20" s="15">
        <f t="shared" si="2"/>
        <v>6736947.3419021582</v>
      </c>
      <c r="I20" s="12">
        <f>SUM(I13:I19)</f>
        <v>145</v>
      </c>
      <c r="J20" s="12">
        <f>SUM(J13:J19)</f>
        <v>222</v>
      </c>
      <c r="K20" s="12">
        <f>SUM(K13:K19)</f>
        <v>125</v>
      </c>
      <c r="L20" s="12">
        <f>SUM(L13:L19)+9</f>
        <v>203</v>
      </c>
      <c r="M20" s="32">
        <f>SUM(M13:M19)</f>
        <v>9618</v>
      </c>
      <c r="N20" s="30">
        <f>M20/E20</f>
        <v>1.9587318138125417E-2</v>
      </c>
    </row>
    <row r="21" spans="1:14" x14ac:dyDescent="0.35">
      <c r="A21" t="s">
        <v>142</v>
      </c>
      <c r="B21" s="13" t="s">
        <v>262</v>
      </c>
      <c r="C21" s="34">
        <v>57614</v>
      </c>
      <c r="D21" s="34">
        <v>39272</v>
      </c>
      <c r="E21" s="35">
        <f t="shared" ref="E21:E33" si="4">C21+D21</f>
        <v>96886</v>
      </c>
      <c r="F21" s="2">
        <f t="shared" si="1"/>
        <v>0.59465763887455358</v>
      </c>
      <c r="G21" s="16">
        <f>'Lokal ligning'!F5+'Lokal ligning'!F20</f>
        <v>94940906.698112309</v>
      </c>
      <c r="H21" s="16">
        <f t="shared" si="2"/>
        <v>949409.06698112306</v>
      </c>
      <c r="I21">
        <v>7</v>
      </c>
      <c r="J21">
        <v>13</v>
      </c>
      <c r="K21">
        <v>6</v>
      </c>
      <c r="L21">
        <v>25</v>
      </c>
      <c r="M21" s="35">
        <f>Befolkning!G9+Befolkning!G25</f>
        <v>10383</v>
      </c>
    </row>
    <row r="22" spans="1:14" x14ac:dyDescent="0.35">
      <c r="A22" t="s">
        <v>142</v>
      </c>
      <c r="B22" s="13" t="s">
        <v>263</v>
      </c>
      <c r="C22" s="34">
        <v>44535</v>
      </c>
      <c r="D22" s="34">
        <v>22914</v>
      </c>
      <c r="E22" s="35">
        <f t="shared" si="4"/>
        <v>67449</v>
      </c>
      <c r="F22" s="2">
        <f t="shared" si="1"/>
        <v>0.66027665347151177</v>
      </c>
      <c r="G22" s="16">
        <f>'Lokal ligning'!F22+'Lokal ligning'!F25</f>
        <v>68792458.343250588</v>
      </c>
      <c r="H22" s="16">
        <f t="shared" si="2"/>
        <v>687924.58343250584</v>
      </c>
      <c r="I22">
        <v>6</v>
      </c>
      <c r="J22">
        <v>13</v>
      </c>
      <c r="K22">
        <v>6</v>
      </c>
      <c r="L22">
        <v>17</v>
      </c>
      <c r="M22" s="35">
        <f>Befolkning!G23+Befolkning!G30</f>
        <v>343</v>
      </c>
    </row>
    <row r="23" spans="1:14" x14ac:dyDescent="0.35">
      <c r="A23" t="s">
        <v>142</v>
      </c>
      <c r="B23" s="13" t="s">
        <v>264</v>
      </c>
      <c r="C23" s="34">
        <v>68391</v>
      </c>
      <c r="D23" s="34">
        <v>25713</v>
      </c>
      <c r="E23" s="35">
        <f t="shared" si="4"/>
        <v>94104</v>
      </c>
      <c r="F23" s="2">
        <f t="shared" si="1"/>
        <v>0.72675975516449887</v>
      </c>
      <c r="G23" s="16">
        <f>'Lokal ligning'!F27+'Lokal ligning'!F28</f>
        <v>121566869.84479892</v>
      </c>
      <c r="H23" s="16">
        <f t="shared" si="2"/>
        <v>1215668.6984479893</v>
      </c>
      <c r="I23">
        <v>17</v>
      </c>
      <c r="J23">
        <v>28</v>
      </c>
      <c r="K23">
        <v>15</v>
      </c>
      <c r="L23">
        <v>32</v>
      </c>
      <c r="M23" s="35">
        <f>Befolkning!G22+Befolkning!G24</f>
        <v>5291</v>
      </c>
    </row>
    <row r="24" spans="1:14" x14ac:dyDescent="0.35">
      <c r="A24" t="s">
        <v>142</v>
      </c>
      <c r="B24" s="13" t="s">
        <v>265</v>
      </c>
      <c r="C24" s="34">
        <v>53698</v>
      </c>
      <c r="D24" s="34">
        <v>20012</v>
      </c>
      <c r="E24" s="35">
        <f t="shared" si="4"/>
        <v>73710</v>
      </c>
      <c r="F24" s="2">
        <f t="shared" si="1"/>
        <v>0.72850359517026186</v>
      </c>
      <c r="G24" s="16">
        <f>'Lokal ligning'!F31+'Lokal ligning'!F34</f>
        <v>90257526.816303685</v>
      </c>
      <c r="H24" s="16">
        <f t="shared" si="2"/>
        <v>902575.2681630369</v>
      </c>
      <c r="I24">
        <v>16</v>
      </c>
      <c r="J24">
        <v>25</v>
      </c>
      <c r="K24">
        <v>13</v>
      </c>
      <c r="L24">
        <v>23</v>
      </c>
      <c r="M24" s="35">
        <f>Befolkning!G26+Befolkning!G27</f>
        <v>437</v>
      </c>
    </row>
    <row r="25" spans="1:14" x14ac:dyDescent="0.35">
      <c r="A25" t="s">
        <v>142</v>
      </c>
      <c r="B25" s="13" t="s">
        <v>266</v>
      </c>
      <c r="C25" s="34">
        <v>48605</v>
      </c>
      <c r="D25" s="34">
        <v>26481</v>
      </c>
      <c r="E25" s="35">
        <f t="shared" si="4"/>
        <v>75086</v>
      </c>
      <c r="F25" s="2">
        <f t="shared" si="1"/>
        <v>0.64732440135311509</v>
      </c>
      <c r="G25" s="16">
        <f>'Lokal ligning'!F8</f>
        <v>62914376.868604034</v>
      </c>
      <c r="H25" s="16">
        <f t="shared" si="2"/>
        <v>629143.7686860403</v>
      </c>
      <c r="I25">
        <v>9</v>
      </c>
      <c r="J25">
        <v>14</v>
      </c>
      <c r="K25">
        <v>9</v>
      </c>
      <c r="L25">
        <v>19</v>
      </c>
      <c r="M25" s="35">
        <f>Befolkning!G11</f>
        <v>-3466</v>
      </c>
      <c r="N25" s="28">
        <f>Befolkning!I11</f>
        <v>-4.6275033377837116E-2</v>
      </c>
    </row>
    <row r="26" spans="1:14" x14ac:dyDescent="0.35">
      <c r="A26" t="s">
        <v>142</v>
      </c>
      <c r="B26" s="13" t="s">
        <v>267</v>
      </c>
      <c r="C26" s="34">
        <v>55870</v>
      </c>
      <c r="D26" s="34">
        <v>47226</v>
      </c>
      <c r="E26" s="35">
        <f t="shared" si="4"/>
        <v>103096</v>
      </c>
      <c r="F26" s="2">
        <f t="shared" si="1"/>
        <v>0.54192209203072861</v>
      </c>
      <c r="G26" s="16">
        <f>'Lokal ligning'!F9+'Lokal ligning'!F11</f>
        <v>94535169.607230008</v>
      </c>
      <c r="H26" s="16">
        <f t="shared" si="2"/>
        <v>945351.69607230008</v>
      </c>
      <c r="I26">
        <v>10</v>
      </c>
      <c r="J26">
        <v>14</v>
      </c>
      <c r="K26">
        <v>10</v>
      </c>
      <c r="L26">
        <v>28</v>
      </c>
      <c r="M26" s="35">
        <f>Befolkning!G12</f>
        <v>3981</v>
      </c>
      <c r="N26" s="28">
        <f>Befolkning!I12</f>
        <v>3.8890625610566214E-2</v>
      </c>
    </row>
    <row r="27" spans="1:14" x14ac:dyDescent="0.35">
      <c r="A27" t="s">
        <v>142</v>
      </c>
      <c r="B27" s="13" t="s">
        <v>268</v>
      </c>
      <c r="C27" s="34">
        <v>54408</v>
      </c>
      <c r="D27" s="34">
        <v>60552</v>
      </c>
      <c r="E27" s="35">
        <f t="shared" si="4"/>
        <v>114960</v>
      </c>
      <c r="F27" s="2">
        <f t="shared" si="1"/>
        <v>0.47327766179540709</v>
      </c>
      <c r="G27" s="16">
        <f>'Lokal ligning'!F10+'Lokal ligning'!F12+'Lokal ligning'!F19+'Lokal ligning'!F6</f>
        <v>87883824.218790174</v>
      </c>
      <c r="H27" s="16">
        <f t="shared" si="2"/>
        <v>878838.24218790175</v>
      </c>
      <c r="I27">
        <v>9</v>
      </c>
      <c r="J27">
        <v>17</v>
      </c>
      <c r="K27">
        <v>9</v>
      </c>
      <c r="L27">
        <v>29</v>
      </c>
      <c r="M27" s="35">
        <f>Befolkning!G8</f>
        <v>10135</v>
      </c>
      <c r="N27" s="28">
        <f>Befolkning!I8</f>
        <v>8.9606210103796435E-2</v>
      </c>
    </row>
    <row r="28" spans="1:14" x14ac:dyDescent="0.35">
      <c r="A28" t="s">
        <v>142</v>
      </c>
      <c r="B28" s="13" t="s">
        <v>269</v>
      </c>
      <c r="C28" s="34">
        <v>43290</v>
      </c>
      <c r="D28" s="34">
        <v>21102</v>
      </c>
      <c r="E28" s="35">
        <f t="shared" si="4"/>
        <v>64392</v>
      </c>
      <c r="F28" s="2">
        <f t="shared" si="1"/>
        <v>0.67228848304137157</v>
      </c>
      <c r="G28" s="16">
        <f>'Lokal ligning'!F23</f>
        <v>55124838.436237238</v>
      </c>
      <c r="H28" s="16">
        <f t="shared" si="2"/>
        <v>551248.38436237234</v>
      </c>
      <c r="I28">
        <v>10</v>
      </c>
      <c r="J28">
        <v>12</v>
      </c>
      <c r="K28">
        <v>9</v>
      </c>
      <c r="L28">
        <v>21</v>
      </c>
      <c r="M28" s="35">
        <f>Befolkning!G28</f>
        <v>1128</v>
      </c>
      <c r="N28" s="28">
        <f>Befolkning!I28</f>
        <v>1.7581047381546134E-2</v>
      </c>
    </row>
    <row r="29" spans="1:14" x14ac:dyDescent="0.35">
      <c r="A29" t="s">
        <v>142</v>
      </c>
      <c r="B29" s="13" t="s">
        <v>270</v>
      </c>
      <c r="C29" s="34">
        <v>56842</v>
      </c>
      <c r="D29" s="34">
        <v>25402</v>
      </c>
      <c r="E29" s="35">
        <f t="shared" si="4"/>
        <v>82244</v>
      </c>
      <c r="F29" s="2">
        <f t="shared" si="1"/>
        <v>0.69113856329945045</v>
      </c>
      <c r="G29" s="16">
        <f>'Lokal ligning'!F21+'Lokal ligning'!F24</f>
        <v>79963177.02567035</v>
      </c>
      <c r="H29" s="16">
        <f t="shared" si="2"/>
        <v>799631.77025670349</v>
      </c>
      <c r="I29">
        <v>15</v>
      </c>
      <c r="J29">
        <v>25</v>
      </c>
      <c r="K29">
        <v>14</v>
      </c>
      <c r="L29">
        <v>27</v>
      </c>
      <c r="M29" s="35">
        <f>Befolkning!G29+Befolkning!G21</f>
        <v>4868</v>
      </c>
    </row>
    <row r="30" spans="1:14" x14ac:dyDescent="0.35">
      <c r="A30" t="s">
        <v>142</v>
      </c>
      <c r="B30" s="13" t="s">
        <v>271</v>
      </c>
      <c r="C30" s="34">
        <v>37529</v>
      </c>
      <c r="D30" s="34">
        <v>48047</v>
      </c>
      <c r="E30" s="35">
        <f t="shared" si="4"/>
        <v>85576</v>
      </c>
      <c r="F30" s="2">
        <f t="shared" si="1"/>
        <v>0.43854585397775075</v>
      </c>
      <c r="G30" s="16">
        <f>'Lokal ligning'!F14+'Lokal ligning'!F17</f>
        <v>63559280.03767094</v>
      </c>
      <c r="H30" s="16">
        <f t="shared" si="2"/>
        <v>635592.80037670943</v>
      </c>
      <c r="I30">
        <v>9</v>
      </c>
      <c r="J30">
        <v>11</v>
      </c>
      <c r="K30">
        <v>7</v>
      </c>
      <c r="L30">
        <v>18</v>
      </c>
      <c r="M30" s="35">
        <f>Befolkning!G16+Befolkning!G17</f>
        <v>10370</v>
      </c>
    </row>
    <row r="31" spans="1:14" x14ac:dyDescent="0.35">
      <c r="A31" t="s">
        <v>142</v>
      </c>
      <c r="B31" s="13" t="s">
        <v>272</v>
      </c>
      <c r="C31" s="34">
        <v>36601</v>
      </c>
      <c r="D31" s="34">
        <v>22321</v>
      </c>
      <c r="E31" s="35">
        <f t="shared" si="4"/>
        <v>58922</v>
      </c>
      <c r="F31" s="2">
        <f t="shared" si="1"/>
        <v>0.62117714945181768</v>
      </c>
      <c r="G31" s="16">
        <f>'Lokal ligning'!F15</f>
        <v>63228431.099595338</v>
      </c>
      <c r="H31" s="16">
        <f t="shared" si="2"/>
        <v>632284.31099595339</v>
      </c>
      <c r="I31">
        <v>6</v>
      </c>
      <c r="J31">
        <v>10</v>
      </c>
      <c r="K31">
        <v>6</v>
      </c>
      <c r="L31">
        <v>18</v>
      </c>
      <c r="M31" s="35">
        <f>Befolkning!G18</f>
        <v>671</v>
      </c>
    </row>
    <row r="32" spans="1:14" x14ac:dyDescent="0.35">
      <c r="A32" t="s">
        <v>142</v>
      </c>
      <c r="B32" s="13" t="s">
        <v>273</v>
      </c>
      <c r="C32" s="34">
        <v>39123</v>
      </c>
      <c r="D32" s="34">
        <v>18954</v>
      </c>
      <c r="E32" s="35">
        <f t="shared" si="4"/>
        <v>58077</v>
      </c>
      <c r="F32" s="2">
        <f t="shared" si="1"/>
        <v>0.67364016736401677</v>
      </c>
      <c r="G32" s="16">
        <f>'Lokal ligning'!F26</f>
        <v>66611508.249233454</v>
      </c>
      <c r="H32" s="16">
        <f t="shared" si="2"/>
        <v>666115.08249233454</v>
      </c>
      <c r="I32">
        <v>8</v>
      </c>
      <c r="J32">
        <v>11</v>
      </c>
      <c r="K32">
        <v>8</v>
      </c>
      <c r="L32">
        <v>20</v>
      </c>
      <c r="M32" s="35">
        <f>Befolkning!G31</f>
        <v>-1349</v>
      </c>
    </row>
    <row r="33" spans="1:14" x14ac:dyDescent="0.35">
      <c r="A33" t="s">
        <v>142</v>
      </c>
      <c r="B33" s="13" t="s">
        <v>274</v>
      </c>
      <c r="C33" s="34">
        <v>56326</v>
      </c>
      <c r="D33" s="34">
        <v>42965</v>
      </c>
      <c r="E33" s="35">
        <f t="shared" si="4"/>
        <v>99291</v>
      </c>
      <c r="F33" s="2">
        <f t="shared" si="1"/>
        <v>0.56728202958979157</v>
      </c>
      <c r="G33" s="16">
        <f>'Lokal ligning'!F16+'Lokal ligning'!F13</f>
        <v>80698249.547153145</v>
      </c>
      <c r="H33" s="16">
        <f t="shared" si="2"/>
        <v>806982.49547153153</v>
      </c>
      <c r="I33">
        <v>8</v>
      </c>
      <c r="J33">
        <v>14</v>
      </c>
      <c r="K33">
        <v>8</v>
      </c>
      <c r="L33">
        <v>25</v>
      </c>
      <c r="M33" s="35">
        <f>Befolkning!G15+Befolkning!G19</f>
        <v>5243</v>
      </c>
    </row>
    <row r="34" spans="1:14" x14ac:dyDescent="0.35">
      <c r="A34" s="12" t="s">
        <v>142</v>
      </c>
      <c r="B34" s="4"/>
      <c r="C34" s="36">
        <f>SUM(C21:C33)</f>
        <v>652832</v>
      </c>
      <c r="D34" s="36">
        <f>SUM(D21:D33)</f>
        <v>420961</v>
      </c>
      <c r="E34" s="32">
        <f>SUM(E21:E33)</f>
        <v>1073793</v>
      </c>
      <c r="F34" s="14">
        <f t="shared" ref="F34:F65" si="5">C34/E34</f>
        <v>0.60796820243752758</v>
      </c>
      <c r="G34" s="15">
        <f>SUM(G21:G33)</f>
        <v>1030076616.7926502</v>
      </c>
      <c r="H34" s="15">
        <f t="shared" ref="H34:H65" si="6">G34*1%</f>
        <v>10300766.167926503</v>
      </c>
      <c r="I34" s="22">
        <f>SUM(I21:I33)</f>
        <v>130</v>
      </c>
      <c r="J34" s="22">
        <f>SUM(J21:J33)</f>
        <v>207</v>
      </c>
      <c r="K34" s="22">
        <f>SUM(K21:K33)</f>
        <v>120</v>
      </c>
      <c r="L34" s="22">
        <f>SUM(L21:L33)</f>
        <v>302</v>
      </c>
      <c r="M34" s="37">
        <f>SUM(M21:M33)</f>
        <v>48035</v>
      </c>
      <c r="N34" s="30">
        <f>M34/E34</f>
        <v>4.4733947790682189E-2</v>
      </c>
    </row>
    <row r="35" spans="1:14" x14ac:dyDescent="0.35">
      <c r="A35" t="s">
        <v>122</v>
      </c>
      <c r="B35" s="13" t="s">
        <v>276</v>
      </c>
      <c r="C35" s="34">
        <v>82209</v>
      </c>
      <c r="D35" s="34">
        <v>87908</v>
      </c>
      <c r="E35" s="35">
        <f t="shared" ref="E35:E43" si="7">C35+D35</f>
        <v>170117</v>
      </c>
      <c r="F35" s="2">
        <f t="shared" si="5"/>
        <v>0.48324976339813186</v>
      </c>
      <c r="H35" s="16">
        <f t="shared" si="6"/>
        <v>0</v>
      </c>
      <c r="I35">
        <f>GETPIVOTDATA("MRKode",Menighedsråd!$A$1,"Stift","Københavns Stift","Provsti","Amagerbro Provsti")</f>
        <v>12</v>
      </c>
      <c r="J35">
        <v>16</v>
      </c>
      <c r="K35">
        <v>10</v>
      </c>
      <c r="L35">
        <v>33</v>
      </c>
      <c r="M35" s="34"/>
    </row>
    <row r="36" spans="1:14" x14ac:dyDescent="0.35">
      <c r="A36" t="s">
        <v>122</v>
      </c>
      <c r="B36" s="13" t="s">
        <v>277</v>
      </c>
      <c r="C36" s="34">
        <v>40442</v>
      </c>
      <c r="D36" s="34">
        <v>18256</v>
      </c>
      <c r="E36" s="35">
        <f t="shared" si="7"/>
        <v>58698</v>
      </c>
      <c r="F36" s="2">
        <f t="shared" si="5"/>
        <v>0.68898429248015269</v>
      </c>
      <c r="G36" s="16">
        <f>'Lokal ligning'!F18+'Lokal ligning'!F7</f>
        <v>48688610.473521993</v>
      </c>
      <c r="H36" s="16">
        <f t="shared" si="6"/>
        <v>486886.10473521991</v>
      </c>
      <c r="I36">
        <f>GETPIVOTDATA("MRKode",Menighedsråd!$A$1,"Stift","Københavns Stift","Provsti","Amagerland Provsti")</f>
        <v>6</v>
      </c>
      <c r="J36">
        <v>9</v>
      </c>
      <c r="K36">
        <v>6</v>
      </c>
      <c r="L36">
        <v>18</v>
      </c>
      <c r="M36" s="35">
        <f>Befolkning!G6</f>
        <v>197</v>
      </c>
      <c r="N36" s="28">
        <f>Befolkning!I6</f>
        <v>3.3579354662757596E-3</v>
      </c>
    </row>
    <row r="37" spans="1:14" x14ac:dyDescent="0.35">
      <c r="A37" t="s">
        <v>122</v>
      </c>
      <c r="B37" s="13" t="s">
        <v>278</v>
      </c>
      <c r="C37" s="34">
        <v>40597</v>
      </c>
      <c r="D37" s="34">
        <v>55843</v>
      </c>
      <c r="E37" s="35">
        <f t="shared" si="7"/>
        <v>96440</v>
      </c>
      <c r="F37" s="2">
        <f t="shared" si="5"/>
        <v>0.42095603484031524</v>
      </c>
      <c r="H37" s="16">
        <f t="shared" si="6"/>
        <v>0</v>
      </c>
      <c r="I37">
        <f>GETPIVOTDATA("MRKode",Menighedsråd!$A$1,"Stift","Københavns Stift","Provsti","Bispebjerg-Brønshøj Provsti")</f>
        <v>10</v>
      </c>
      <c r="J37">
        <v>14</v>
      </c>
      <c r="K37">
        <v>9</v>
      </c>
      <c r="L37">
        <v>25</v>
      </c>
      <c r="M37" s="34"/>
    </row>
    <row r="38" spans="1:14" x14ac:dyDescent="0.35">
      <c r="A38" t="s">
        <v>122</v>
      </c>
      <c r="B38" s="13" t="s">
        <v>279</v>
      </c>
      <c r="C38" s="34">
        <v>29081</v>
      </c>
      <c r="D38" s="34">
        <v>9622</v>
      </c>
      <c r="E38" s="35">
        <f t="shared" si="7"/>
        <v>38703</v>
      </c>
      <c r="F38" s="2">
        <f t="shared" si="5"/>
        <v>0.75138878123142905</v>
      </c>
      <c r="G38" s="16">
        <f>'Lokal ligning'!F48</f>
        <v>49111137.04636883</v>
      </c>
      <c r="H38" s="16">
        <f t="shared" si="6"/>
        <v>491111.37046368833</v>
      </c>
      <c r="I38">
        <f>GETPIVOTDATA("MRKode",Menighedsråd!$A$1,"Stift","Københavns Stift","Provsti","Bornholms Provsti")</f>
        <v>18</v>
      </c>
      <c r="J38">
        <v>29</v>
      </c>
      <c r="K38">
        <v>14</v>
      </c>
      <c r="L38">
        <v>18</v>
      </c>
      <c r="M38" s="35">
        <f>Befolkning!G32</f>
        <v>-3143</v>
      </c>
      <c r="N38" s="28">
        <f>Befolkning!I32</f>
        <v>-8.1007242454702436E-2</v>
      </c>
    </row>
    <row r="39" spans="1:14" x14ac:dyDescent="0.35">
      <c r="A39" t="s">
        <v>122</v>
      </c>
      <c r="B39" s="13" t="s">
        <v>280</v>
      </c>
      <c r="C39" s="34">
        <v>61301</v>
      </c>
      <c r="D39" s="34">
        <v>45132</v>
      </c>
      <c r="E39" s="35">
        <f t="shared" si="7"/>
        <v>106433</v>
      </c>
      <c r="F39" s="2">
        <f t="shared" si="5"/>
        <v>0.57595858427367452</v>
      </c>
      <c r="G39" s="16">
        <f>'Lokal ligning'!F4</f>
        <v>70094214.07146062</v>
      </c>
      <c r="H39" s="16">
        <f t="shared" si="6"/>
        <v>700942.14071460615</v>
      </c>
      <c r="I39">
        <f>GETPIVOTDATA("MRKode",Menighedsråd!$A$1,"Stift","Københavns Stift","Provsti","Frederiksberg Provsti")</f>
        <v>9</v>
      </c>
      <c r="J39">
        <v>18</v>
      </c>
      <c r="K39">
        <v>9</v>
      </c>
      <c r="L39">
        <v>28</v>
      </c>
      <c r="M39" s="35">
        <f>Befolkning!G5</f>
        <v>-3801</v>
      </c>
      <c r="N39" s="28">
        <f>Befolkning!I5</f>
        <v>-3.588930119253321E-2</v>
      </c>
    </row>
    <row r="40" spans="1:14" x14ac:dyDescent="0.35">
      <c r="A40" t="s">
        <v>122</v>
      </c>
      <c r="B40" s="13" t="s">
        <v>281</v>
      </c>
      <c r="C40" s="34">
        <v>61354</v>
      </c>
      <c r="D40" s="34">
        <v>51496</v>
      </c>
      <c r="E40" s="35">
        <f t="shared" si="7"/>
        <v>112850</v>
      </c>
      <c r="F40" s="2">
        <f t="shared" si="5"/>
        <v>0.54367744793974304</v>
      </c>
      <c r="H40" s="16">
        <f t="shared" si="6"/>
        <v>0</v>
      </c>
      <c r="I40">
        <f>GETPIVOTDATA("MRKode",Menighedsråd!$A$1,"Stift","Københavns Stift","Provsti","Holmens og Østerbro Provsti")</f>
        <v>14</v>
      </c>
      <c r="J40">
        <v>20</v>
      </c>
      <c r="K40">
        <v>13</v>
      </c>
      <c r="L40">
        <v>28</v>
      </c>
      <c r="M40" s="34"/>
    </row>
    <row r="41" spans="1:14" x14ac:dyDescent="0.35">
      <c r="A41" t="s">
        <v>122</v>
      </c>
      <c r="B41" s="13" t="s">
        <v>282</v>
      </c>
      <c r="C41" s="34">
        <v>35310</v>
      </c>
      <c r="D41" s="34">
        <v>41146</v>
      </c>
      <c r="E41" s="35">
        <f t="shared" si="7"/>
        <v>76456</v>
      </c>
      <c r="F41" s="2">
        <f t="shared" si="5"/>
        <v>0.46183425761222141</v>
      </c>
      <c r="G41" s="16">
        <f>'Lokal ligning'!F3</f>
        <v>591550648.27880216</v>
      </c>
      <c r="H41" s="16">
        <f t="shared" si="6"/>
        <v>5915506.4827880217</v>
      </c>
      <c r="I41">
        <f>GETPIVOTDATA("MRKode",Menighedsråd!$A$1,"Stift","Københavns Stift","Provsti","Nørrebro Provsti")</f>
        <v>6</v>
      </c>
      <c r="J41">
        <v>12</v>
      </c>
      <c r="K41">
        <v>5</v>
      </c>
      <c r="L41">
        <v>19</v>
      </c>
      <c r="M41" s="35">
        <f>Befolkning!G4</f>
        <v>29269</v>
      </c>
      <c r="N41" s="28">
        <f>Befolkning!I4</f>
        <v>4.3510771773968164E-2</v>
      </c>
    </row>
    <row r="42" spans="1:14" x14ac:dyDescent="0.35">
      <c r="A42" t="s">
        <v>122</v>
      </c>
      <c r="B42" s="13" t="s">
        <v>283</v>
      </c>
      <c r="C42" s="34">
        <v>56847</v>
      </c>
      <c r="D42" s="34">
        <v>51901</v>
      </c>
      <c r="E42" s="35">
        <f t="shared" si="7"/>
        <v>108748</v>
      </c>
      <c r="F42" s="2">
        <f t="shared" si="5"/>
        <v>0.52274064810387322</v>
      </c>
      <c r="H42" s="16">
        <f t="shared" si="6"/>
        <v>0</v>
      </c>
      <c r="I42">
        <f>GETPIVOTDATA("MRKode",Menighedsråd!$A$1,"Stift","Københavns Stift","Provsti","Valby-Vanløse Provsti")</f>
        <v>9</v>
      </c>
      <c r="J42">
        <v>12</v>
      </c>
      <c r="K42">
        <v>9</v>
      </c>
      <c r="L42">
        <v>24</v>
      </c>
      <c r="M42" s="34"/>
    </row>
    <row r="43" spans="1:14" x14ac:dyDescent="0.35">
      <c r="A43" t="s">
        <v>122</v>
      </c>
      <c r="B43" s="13" t="s">
        <v>284</v>
      </c>
      <c r="C43" s="34">
        <v>51772</v>
      </c>
      <c r="D43" s="34">
        <v>57055</v>
      </c>
      <c r="E43" s="35">
        <f t="shared" si="7"/>
        <v>108827</v>
      </c>
      <c r="F43" s="2">
        <f t="shared" si="5"/>
        <v>0.47572753085171876</v>
      </c>
      <c r="H43" s="16">
        <f t="shared" si="6"/>
        <v>0</v>
      </c>
      <c r="I43">
        <f>GETPIVOTDATA("MRKode",Menighedsråd!$A$1,"Stift","Københavns Stift","Provsti","Vor Frue-Vesterbro Provsti")</f>
        <v>7</v>
      </c>
      <c r="J43">
        <v>20</v>
      </c>
      <c r="K43">
        <v>7</v>
      </c>
      <c r="L43">
        <v>32</v>
      </c>
      <c r="M43" s="34"/>
    </row>
    <row r="44" spans="1:14" x14ac:dyDescent="0.35">
      <c r="A44" s="12" t="s">
        <v>122</v>
      </c>
      <c r="B44" s="12"/>
      <c r="C44" s="32">
        <f>SUM(C35:C43)</f>
        <v>458913</v>
      </c>
      <c r="D44" s="32">
        <f>SUM(D35:D43)</f>
        <v>418359</v>
      </c>
      <c r="E44" s="32">
        <f>SUM(E35:E43)</f>
        <v>877272</v>
      </c>
      <c r="F44" s="14">
        <f t="shared" si="5"/>
        <v>0.52311369791809159</v>
      </c>
      <c r="G44" s="15">
        <f>SUM(G35:G43)</f>
        <v>759444609.87015367</v>
      </c>
      <c r="H44" s="15">
        <f t="shared" si="6"/>
        <v>7594446.0987015367</v>
      </c>
      <c r="I44" s="22">
        <f>SUM(I35:I43)</f>
        <v>91</v>
      </c>
      <c r="J44" s="22">
        <f>SUM(J35:J43)</f>
        <v>150</v>
      </c>
      <c r="K44" s="22">
        <f>SUM(K35:K43)</f>
        <v>82</v>
      </c>
      <c r="L44" s="22">
        <f>SUM(L35:L43)+1</f>
        <v>226</v>
      </c>
      <c r="M44" s="32">
        <f>SUM(M36:M43)</f>
        <v>22522</v>
      </c>
      <c r="N44" s="30">
        <f>M44/E44</f>
        <v>2.5672767397112869E-2</v>
      </c>
    </row>
    <row r="45" spans="1:14" x14ac:dyDescent="0.35">
      <c r="A45" t="s">
        <v>235</v>
      </c>
      <c r="B45" s="13" t="s">
        <v>286</v>
      </c>
      <c r="C45" s="34">
        <v>31707</v>
      </c>
      <c r="D45" s="34">
        <v>9422</v>
      </c>
      <c r="E45" s="35">
        <f>C45+D45</f>
        <v>41129</v>
      </c>
      <c r="F45" s="2">
        <f t="shared" si="5"/>
        <v>0.77091589875756761</v>
      </c>
      <c r="H45" s="16">
        <f t="shared" si="6"/>
        <v>0</v>
      </c>
      <c r="I45">
        <v>18</v>
      </c>
      <c r="J45">
        <v>38</v>
      </c>
      <c r="K45">
        <v>14</v>
      </c>
      <c r="L45">
        <v>22</v>
      </c>
      <c r="M45" s="34"/>
    </row>
    <row r="46" spans="1:14" x14ac:dyDescent="0.35">
      <c r="A46" t="s">
        <v>235</v>
      </c>
      <c r="B46" s="13" t="s">
        <v>287</v>
      </c>
      <c r="C46" s="34">
        <v>16207</v>
      </c>
      <c r="D46" s="34">
        <v>4876</v>
      </c>
      <c r="E46" s="35">
        <f>C46+D46</f>
        <v>21083</v>
      </c>
      <c r="F46" s="2">
        <f t="shared" si="5"/>
        <v>0.76872361618365503</v>
      </c>
      <c r="G46" s="16">
        <f>'Lokal ligning'!F44</f>
        <v>68777657.525441572</v>
      </c>
      <c r="H46" s="16">
        <f t="shared" si="6"/>
        <v>687776.57525441574</v>
      </c>
      <c r="I46">
        <v>15</v>
      </c>
      <c r="J46">
        <v>32</v>
      </c>
      <c r="K46">
        <v>7</v>
      </c>
      <c r="L46">
        <v>13</v>
      </c>
      <c r="M46" s="35">
        <f>Befolkning!G43</f>
        <v>-3867</v>
      </c>
    </row>
    <row r="47" spans="1:14" x14ac:dyDescent="0.35">
      <c r="A47" t="s">
        <v>235</v>
      </c>
      <c r="B47" s="13" t="s">
        <v>288</v>
      </c>
      <c r="C47" s="34">
        <v>14300</v>
      </c>
      <c r="D47" s="34">
        <v>3575</v>
      </c>
      <c r="E47" s="35">
        <f>C47+D47</f>
        <v>17875</v>
      </c>
      <c r="F47" s="2">
        <f t="shared" si="5"/>
        <v>0.8</v>
      </c>
      <c r="G47" s="16">
        <f>'Lokal ligning'!F46</f>
        <v>98745020.428786695</v>
      </c>
      <c r="H47" s="16">
        <f t="shared" si="6"/>
        <v>987450.20428786695</v>
      </c>
      <c r="I47">
        <v>10</v>
      </c>
      <c r="J47">
        <v>23</v>
      </c>
      <c r="K47">
        <v>7</v>
      </c>
      <c r="L47">
        <v>10</v>
      </c>
      <c r="M47" s="35">
        <f>Befolkning!G40</f>
        <v>-3439</v>
      </c>
    </row>
    <row r="48" spans="1:14" x14ac:dyDescent="0.35">
      <c r="A48" t="s">
        <v>235</v>
      </c>
      <c r="B48" s="13" t="s">
        <v>289</v>
      </c>
      <c r="C48" s="34">
        <v>12889</v>
      </c>
      <c r="D48" s="34">
        <v>4444</v>
      </c>
      <c r="E48" s="35">
        <f>C48+D48</f>
        <v>17333</v>
      </c>
      <c r="F48" s="2">
        <f t="shared" si="5"/>
        <v>0.74361045404719317</v>
      </c>
      <c r="H48" s="16">
        <f t="shared" si="6"/>
        <v>0</v>
      </c>
      <c r="I48">
        <v>15</v>
      </c>
      <c r="J48">
        <v>23</v>
      </c>
      <c r="K48">
        <v>9</v>
      </c>
      <c r="L48">
        <v>10</v>
      </c>
      <c r="M48" s="34"/>
    </row>
    <row r="49" spans="1:14" x14ac:dyDescent="0.35">
      <c r="A49" s="12" t="s">
        <v>235</v>
      </c>
      <c r="B49" s="12"/>
      <c r="C49" s="32">
        <f>SUM(C45:C48)</f>
        <v>75103</v>
      </c>
      <c r="D49" s="32">
        <f>SUM(D45:D48)</f>
        <v>22317</v>
      </c>
      <c r="E49" s="32">
        <f>SUM(E45:E48)</f>
        <v>97420</v>
      </c>
      <c r="F49" s="14">
        <f t="shared" si="5"/>
        <v>0.77091972900841721</v>
      </c>
      <c r="G49" s="15">
        <f>SUM(G45:G48)</f>
        <v>167522677.95422828</v>
      </c>
      <c r="H49" s="15">
        <f t="shared" si="6"/>
        <v>1675226.7795422829</v>
      </c>
      <c r="I49" s="22">
        <f>SUM(I45:I48)</f>
        <v>58</v>
      </c>
      <c r="J49" s="22">
        <f>SUM(J45:J48)</f>
        <v>116</v>
      </c>
      <c r="K49" s="22">
        <f>SUM(K45:K48)</f>
        <v>37</v>
      </c>
      <c r="L49" s="22">
        <f>SUM(L45:L48)</f>
        <v>55</v>
      </c>
      <c r="M49" s="37">
        <f>SUM(M46:M48)</f>
        <v>-7306</v>
      </c>
      <c r="N49" s="30">
        <f>M49/E49</f>
        <v>-7.4994867583658392E-2</v>
      </c>
    </row>
    <row r="50" spans="1:14" x14ac:dyDescent="0.35">
      <c r="A50" t="s">
        <v>237</v>
      </c>
      <c r="B50" s="13" t="s">
        <v>291</v>
      </c>
      <c r="C50" s="34">
        <v>34329</v>
      </c>
      <c r="D50" s="34">
        <v>10722</v>
      </c>
      <c r="E50" s="35">
        <f t="shared" ref="E50:E57" si="8">C50+D50</f>
        <v>45051</v>
      </c>
      <c r="F50" s="2">
        <f t="shared" si="5"/>
        <v>0.76200306319504563</v>
      </c>
      <c r="G50" s="17">
        <f>'Lokal ligning'!F60</f>
        <v>35485325.785290644</v>
      </c>
      <c r="H50" s="16">
        <f t="shared" si="6"/>
        <v>354853.25785290642</v>
      </c>
      <c r="I50">
        <v>15</v>
      </c>
      <c r="J50">
        <v>29</v>
      </c>
      <c r="K50">
        <v>13</v>
      </c>
      <c r="L50">
        <v>18</v>
      </c>
      <c r="M50" s="35">
        <f>Befolkning!G61</f>
        <v>239</v>
      </c>
    </row>
    <row r="51" spans="1:14" x14ac:dyDescent="0.35">
      <c r="A51" t="s">
        <v>237</v>
      </c>
      <c r="B51" s="13" t="s">
        <v>292</v>
      </c>
      <c r="C51" s="34">
        <v>33412</v>
      </c>
      <c r="D51" s="34">
        <v>9198</v>
      </c>
      <c r="E51" s="35">
        <f t="shared" si="8"/>
        <v>42610</v>
      </c>
      <c r="F51" s="2">
        <f t="shared" si="5"/>
        <v>0.7841351795353203</v>
      </c>
      <c r="G51" s="16">
        <f>'Lokal ligning'!F66</f>
        <v>69097065.488124371</v>
      </c>
      <c r="H51" s="16">
        <f t="shared" si="6"/>
        <v>690970.65488124371</v>
      </c>
      <c r="I51">
        <v>23</v>
      </c>
      <c r="J51">
        <v>30</v>
      </c>
      <c r="K51">
        <v>12</v>
      </c>
      <c r="L51">
        <v>16</v>
      </c>
      <c r="M51" s="35">
        <f>Befolkning!G70</f>
        <v>-1325</v>
      </c>
    </row>
    <row r="52" spans="1:14" x14ac:dyDescent="0.35">
      <c r="A52" t="s">
        <v>237</v>
      </c>
      <c r="B52" s="13" t="s">
        <v>293</v>
      </c>
      <c r="C52" s="34">
        <v>26588</v>
      </c>
      <c r="D52" s="34">
        <v>4729</v>
      </c>
      <c r="E52" s="35">
        <f t="shared" si="8"/>
        <v>31317</v>
      </c>
      <c r="F52" s="2">
        <f t="shared" si="5"/>
        <v>0.84899575310534214</v>
      </c>
      <c r="G52" s="16">
        <f>'Lokal ligning'!F63</f>
        <v>138718317.51460218</v>
      </c>
      <c r="H52" s="16">
        <f t="shared" si="6"/>
        <v>1387183.1751460219</v>
      </c>
      <c r="I52">
        <v>16</v>
      </c>
      <c r="J52">
        <v>24</v>
      </c>
      <c r="K52">
        <v>10</v>
      </c>
      <c r="L52">
        <v>15</v>
      </c>
      <c r="M52" s="35">
        <f>Befolkning!G62</f>
        <v>-3754</v>
      </c>
    </row>
    <row r="53" spans="1:14" x14ac:dyDescent="0.35">
      <c r="A53" t="s">
        <v>237</v>
      </c>
      <c r="B53" s="20" t="s">
        <v>294</v>
      </c>
      <c r="C53" s="34">
        <v>22253</v>
      </c>
      <c r="D53" s="34">
        <v>5561</v>
      </c>
      <c r="E53" s="35">
        <f t="shared" si="8"/>
        <v>27814</v>
      </c>
      <c r="F53" s="2">
        <f t="shared" si="5"/>
        <v>0.80006471561084347</v>
      </c>
      <c r="G53" s="17"/>
      <c r="H53" s="16">
        <f t="shared" si="6"/>
        <v>0</v>
      </c>
      <c r="I53">
        <v>18</v>
      </c>
      <c r="J53">
        <v>29</v>
      </c>
      <c r="K53">
        <v>13</v>
      </c>
      <c r="L53">
        <v>16</v>
      </c>
    </row>
    <row r="54" spans="1:14" x14ac:dyDescent="0.35">
      <c r="A54" t="s">
        <v>237</v>
      </c>
      <c r="B54" s="13" t="s">
        <v>295</v>
      </c>
      <c r="C54" s="34">
        <v>67227</v>
      </c>
      <c r="D54" s="34">
        <v>20011</v>
      </c>
      <c r="E54" s="35">
        <f t="shared" si="8"/>
        <v>87238</v>
      </c>
      <c r="F54" s="2">
        <f t="shared" si="5"/>
        <v>0.77061601595634932</v>
      </c>
      <c r="G54" s="17">
        <f>'Lokal ligning'!F64</f>
        <v>6306180.4634406138</v>
      </c>
      <c r="H54" s="16">
        <f t="shared" si="6"/>
        <v>63061.804634406137</v>
      </c>
      <c r="I54">
        <v>17</v>
      </c>
      <c r="J54">
        <v>23</v>
      </c>
      <c r="K54">
        <v>15</v>
      </c>
      <c r="L54">
        <v>32</v>
      </c>
      <c r="M54" s="35">
        <f>Befolkning!G63</f>
        <v>-498</v>
      </c>
    </row>
    <row r="55" spans="1:14" x14ac:dyDescent="0.35">
      <c r="A55" t="s">
        <v>237</v>
      </c>
      <c r="B55" s="13" t="s">
        <v>296</v>
      </c>
      <c r="C55" s="34">
        <v>26731</v>
      </c>
      <c r="D55" s="34">
        <v>6763</v>
      </c>
      <c r="E55" s="35">
        <f t="shared" si="8"/>
        <v>33494</v>
      </c>
      <c r="F55" s="2">
        <f t="shared" si="5"/>
        <v>0.79808323878903686</v>
      </c>
      <c r="G55" s="16">
        <f>'Lokal ligning'!F86</f>
        <v>90210045.289035484</v>
      </c>
      <c r="H55" s="16">
        <f t="shared" si="6"/>
        <v>902100.45289035491</v>
      </c>
      <c r="I55">
        <v>22</v>
      </c>
      <c r="J55">
        <v>32</v>
      </c>
      <c r="K55">
        <v>13</v>
      </c>
      <c r="L55">
        <v>15</v>
      </c>
      <c r="M55" s="35">
        <f>Befolkning!G88</f>
        <v>-3409</v>
      </c>
    </row>
    <row r="56" spans="1:14" x14ac:dyDescent="0.35">
      <c r="A56" t="s">
        <v>237</v>
      </c>
      <c r="B56" s="13" t="s">
        <v>297</v>
      </c>
      <c r="C56" s="34">
        <v>27884</v>
      </c>
      <c r="D56" s="34">
        <v>8325</v>
      </c>
      <c r="E56" s="35">
        <f t="shared" si="8"/>
        <v>36209</v>
      </c>
      <c r="F56" s="2">
        <f t="shared" si="5"/>
        <v>0.77008478555055371</v>
      </c>
      <c r="G56" s="16">
        <f>'Lokal ligning'!F62</f>
        <v>61866469.782730639</v>
      </c>
      <c r="H56" s="16">
        <f t="shared" si="6"/>
        <v>618664.69782730646</v>
      </c>
      <c r="I56">
        <v>26</v>
      </c>
      <c r="J56">
        <v>32</v>
      </c>
      <c r="K56">
        <v>14</v>
      </c>
      <c r="L56">
        <v>18</v>
      </c>
      <c r="M56" s="35">
        <f>Befolkning!G68</f>
        <v>-2471</v>
      </c>
    </row>
    <row r="57" spans="1:14" x14ac:dyDescent="0.35">
      <c r="A57" t="s">
        <v>237</v>
      </c>
      <c r="B57" s="13" t="s">
        <v>298</v>
      </c>
      <c r="C57" s="34">
        <v>40165</v>
      </c>
      <c r="D57" s="34">
        <v>8958</v>
      </c>
      <c r="E57" s="35">
        <f t="shared" si="8"/>
        <v>49123</v>
      </c>
      <c r="F57" s="2">
        <f t="shared" si="5"/>
        <v>0.81764143069437945</v>
      </c>
      <c r="G57" s="16">
        <f>'Lokal ligning'!F65</f>
        <v>71551382.315426469</v>
      </c>
      <c r="H57" s="16">
        <f t="shared" si="6"/>
        <v>715513.82315426471</v>
      </c>
      <c r="I57">
        <v>25</v>
      </c>
      <c r="J57">
        <v>34</v>
      </c>
      <c r="K57">
        <v>15</v>
      </c>
      <c r="L57">
        <v>21</v>
      </c>
      <c r="M57" s="35">
        <f>Befolkning!G69</f>
        <v>-1977</v>
      </c>
    </row>
    <row r="58" spans="1:14" x14ac:dyDescent="0.35">
      <c r="A58" s="12" t="s">
        <v>237</v>
      </c>
      <c r="B58" s="12"/>
      <c r="C58" s="32">
        <f>SUM(C50:C57)</f>
        <v>278589</v>
      </c>
      <c r="D58" s="32">
        <f>SUM(D50:D57)</f>
        <v>74267</v>
      </c>
      <c r="E58" s="32">
        <f>SUM(E50:E57)</f>
        <v>352856</v>
      </c>
      <c r="F58" s="14">
        <f t="shared" si="5"/>
        <v>0.78952603895073348</v>
      </c>
      <c r="G58" s="15">
        <f>SUM(G50:G57)</f>
        <v>473234786.63865042</v>
      </c>
      <c r="H58" s="15">
        <f t="shared" si="6"/>
        <v>4732347.8663865039</v>
      </c>
      <c r="I58" s="22">
        <f>SUM(I50:I57)</f>
        <v>162</v>
      </c>
      <c r="J58" s="22">
        <f>SUM(J50:J57)</f>
        <v>233</v>
      </c>
      <c r="K58" s="22">
        <f>SUM(K50:K57)</f>
        <v>105</v>
      </c>
      <c r="L58" s="22">
        <f>SUM(L50:L57)+2</f>
        <v>153</v>
      </c>
      <c r="M58" s="32">
        <f>SUM(M50:M57)</f>
        <v>-13195</v>
      </c>
      <c r="N58" s="30">
        <f>M58/E58</f>
        <v>-3.7394857959054117E-2</v>
      </c>
    </row>
    <row r="59" spans="1:14" x14ac:dyDescent="0.35">
      <c r="A59" t="s">
        <v>151</v>
      </c>
      <c r="B59" s="13" t="s">
        <v>300</v>
      </c>
      <c r="C59" s="34">
        <v>53995</v>
      </c>
      <c r="D59" s="34">
        <v>25292</v>
      </c>
      <c r="E59" s="35">
        <f t="shared" ref="E59:E70" si="9">C59+D59</f>
        <v>79287</v>
      </c>
      <c r="F59" s="2">
        <f t="shared" si="5"/>
        <v>0.68100697466167215</v>
      </c>
      <c r="G59" s="16">
        <f>'Lokal ligning'!F33+'Lokal ligning'!F29</f>
        <v>92943021.607675582</v>
      </c>
      <c r="H59" s="16">
        <f t="shared" si="6"/>
        <v>929430.2160767559</v>
      </c>
      <c r="I59">
        <v>10</v>
      </c>
      <c r="J59">
        <v>17</v>
      </c>
      <c r="K59">
        <v>9</v>
      </c>
      <c r="L59">
        <v>25</v>
      </c>
      <c r="M59" s="35">
        <f>Befolkning!G34+Befolkning!G38</f>
        <v>5435</v>
      </c>
    </row>
    <row r="60" spans="1:14" x14ac:dyDescent="0.35">
      <c r="A60" t="s">
        <v>151</v>
      </c>
      <c r="B60" s="13" t="s">
        <v>301</v>
      </c>
      <c r="C60" s="34">
        <v>55936</v>
      </c>
      <c r="D60" s="34">
        <v>19193</v>
      </c>
      <c r="E60" s="35">
        <f t="shared" si="9"/>
        <v>75129</v>
      </c>
      <c r="F60" s="2">
        <f t="shared" si="5"/>
        <v>0.74453273702564926</v>
      </c>
      <c r="G60" s="16">
        <f>'Lokal ligning'!F36</f>
        <v>104452725.1750668</v>
      </c>
      <c r="H60" s="16">
        <f t="shared" si="6"/>
        <v>1044527.251750668</v>
      </c>
      <c r="I60">
        <v>21</v>
      </c>
      <c r="J60">
        <v>37</v>
      </c>
      <c r="K60">
        <v>18</v>
      </c>
      <c r="L60">
        <v>31</v>
      </c>
      <c r="M60" s="35">
        <f>Befolkning!G41</f>
        <v>3005</v>
      </c>
    </row>
    <row r="61" spans="1:14" x14ac:dyDescent="0.35">
      <c r="A61" t="s">
        <v>151</v>
      </c>
      <c r="B61" s="13" t="s">
        <v>302</v>
      </c>
      <c r="C61" s="34">
        <v>37125</v>
      </c>
      <c r="D61" s="34">
        <v>10717</v>
      </c>
      <c r="E61" s="35">
        <f t="shared" si="9"/>
        <v>47842</v>
      </c>
      <c r="F61" s="2">
        <f t="shared" si="5"/>
        <v>0.77599180636261023</v>
      </c>
      <c r="G61" s="16">
        <f>'Lokal ligning'!F38</f>
        <v>75082737.654393822</v>
      </c>
      <c r="H61" s="16">
        <f t="shared" si="6"/>
        <v>750827.37654393818</v>
      </c>
      <c r="I61">
        <v>22</v>
      </c>
      <c r="J61">
        <v>39</v>
      </c>
      <c r="K61">
        <v>14</v>
      </c>
      <c r="L61">
        <v>21</v>
      </c>
      <c r="M61" s="35">
        <f>Befolkning!G42</f>
        <v>-2506</v>
      </c>
    </row>
    <row r="62" spans="1:14" x14ac:dyDescent="0.35">
      <c r="A62" t="s">
        <v>151</v>
      </c>
      <c r="B62" s="13" t="s">
        <v>303</v>
      </c>
      <c r="C62" s="34">
        <v>45332</v>
      </c>
      <c r="D62" s="34">
        <v>18716</v>
      </c>
      <c r="E62" s="35">
        <f t="shared" si="9"/>
        <v>64048</v>
      </c>
      <c r="F62" s="2">
        <f t="shared" si="5"/>
        <v>0.70778166375218587</v>
      </c>
      <c r="G62" s="16">
        <f>'Lokal ligning'!F30</f>
        <v>79246175.893032685</v>
      </c>
      <c r="H62" s="16">
        <f t="shared" si="6"/>
        <v>792461.75893032691</v>
      </c>
      <c r="I62">
        <v>12</v>
      </c>
      <c r="J62">
        <v>19</v>
      </c>
      <c r="K62">
        <v>8</v>
      </c>
      <c r="L62">
        <v>21</v>
      </c>
      <c r="M62" s="35">
        <f>Befolkning!G35</f>
        <v>1987</v>
      </c>
    </row>
    <row r="63" spans="1:14" x14ac:dyDescent="0.35">
      <c r="A63" t="s">
        <v>151</v>
      </c>
      <c r="B63" s="13" t="s">
        <v>304</v>
      </c>
      <c r="C63" s="34">
        <v>21267</v>
      </c>
      <c r="D63" s="34">
        <v>8671</v>
      </c>
      <c r="E63" s="35">
        <f t="shared" si="9"/>
        <v>29938</v>
      </c>
      <c r="F63" s="2">
        <f t="shared" si="5"/>
        <v>0.7103680940610595</v>
      </c>
      <c r="G63" s="16">
        <f>'Lokal ligning'!F43</f>
        <v>46805562.785026081</v>
      </c>
      <c r="H63" s="16">
        <f t="shared" si="6"/>
        <v>468055.62785026082</v>
      </c>
      <c r="I63">
        <v>11</v>
      </c>
      <c r="J63">
        <v>18</v>
      </c>
      <c r="K63">
        <v>8</v>
      </c>
      <c r="L63">
        <v>11</v>
      </c>
      <c r="M63" s="35">
        <f>Befolkning!G36</f>
        <v>1855</v>
      </c>
    </row>
    <row r="64" spans="1:14" x14ac:dyDescent="0.35">
      <c r="A64" t="s">
        <v>151</v>
      </c>
      <c r="B64" s="13" t="s">
        <v>305</v>
      </c>
      <c r="C64" s="34">
        <v>65962</v>
      </c>
      <c r="D64" s="34">
        <v>19216</v>
      </c>
      <c r="E64" s="35">
        <f t="shared" si="9"/>
        <v>85178</v>
      </c>
      <c r="F64" s="2">
        <f t="shared" si="5"/>
        <v>0.77440184085092389</v>
      </c>
      <c r="G64" s="16">
        <f>'Lokal ligning'!F45</f>
        <v>120829652.9415628</v>
      </c>
      <c r="H64" s="16">
        <f t="shared" si="6"/>
        <v>1208296.5294156279</v>
      </c>
      <c r="I64">
        <v>24</v>
      </c>
      <c r="J64">
        <v>47</v>
      </c>
      <c r="K64">
        <v>19</v>
      </c>
      <c r="L64">
        <v>31</v>
      </c>
      <c r="M64" s="35">
        <f>Befolkning!G44</f>
        <v>968</v>
      </c>
    </row>
    <row r="65" spans="1:14" x14ac:dyDescent="0.35">
      <c r="A65" t="s">
        <v>151</v>
      </c>
      <c r="B65" s="13" t="s">
        <v>306</v>
      </c>
      <c r="C65" s="34">
        <v>25048</v>
      </c>
      <c r="D65" s="34">
        <v>6886</v>
      </c>
      <c r="E65" s="35">
        <f t="shared" si="9"/>
        <v>31934</v>
      </c>
      <c r="F65" s="2">
        <f t="shared" si="5"/>
        <v>0.78436775850191021</v>
      </c>
      <c r="G65" s="16">
        <f>'Lokal ligning'!F35</f>
        <v>46244928.02511014</v>
      </c>
      <c r="H65" s="16">
        <f t="shared" si="6"/>
        <v>462449.28025110142</v>
      </c>
      <c r="I65">
        <v>12</v>
      </c>
      <c r="J65">
        <v>19</v>
      </c>
      <c r="K65">
        <v>9</v>
      </c>
      <c r="L65">
        <v>12</v>
      </c>
      <c r="M65" s="35">
        <f>Befolkning!G45</f>
        <v>-2482</v>
      </c>
    </row>
    <row r="66" spans="1:14" x14ac:dyDescent="0.35">
      <c r="A66" t="s">
        <v>151</v>
      </c>
      <c r="B66" s="13" t="s">
        <v>307</v>
      </c>
      <c r="C66" s="34">
        <v>48894</v>
      </c>
      <c r="D66" s="34">
        <v>18061</v>
      </c>
      <c r="E66" s="35">
        <f t="shared" si="9"/>
        <v>66955</v>
      </c>
      <c r="F66" s="2">
        <f t="shared" ref="F66:F97" si="10">C66/E66</f>
        <v>0.73025166156373689</v>
      </c>
      <c r="G66" s="16">
        <f>'Lokal ligning'!F39+'Lokal ligning'!F42</f>
        <v>91108833.037160367</v>
      </c>
      <c r="H66" s="16">
        <f t="shared" ref="H66:H97" si="11">G66*1%</f>
        <v>911088.33037160372</v>
      </c>
      <c r="I66">
        <v>24</v>
      </c>
      <c r="J66">
        <v>39</v>
      </c>
      <c r="K66">
        <v>15</v>
      </c>
      <c r="L66">
        <v>27</v>
      </c>
      <c r="M66" s="35">
        <f>Befolkning!G46+Befolkning!G48</f>
        <v>2050</v>
      </c>
    </row>
    <row r="67" spans="1:14" x14ac:dyDescent="0.35">
      <c r="A67" t="s">
        <v>151</v>
      </c>
      <c r="B67" s="13" t="s">
        <v>308</v>
      </c>
      <c r="C67" s="34">
        <v>65635</v>
      </c>
      <c r="D67" s="34">
        <v>27430</v>
      </c>
      <c r="E67" s="35">
        <f t="shared" si="9"/>
        <v>93065</v>
      </c>
      <c r="F67" s="2">
        <f t="shared" si="10"/>
        <v>0.70525976468059959</v>
      </c>
      <c r="G67" s="16">
        <f>'Lokal ligning'!F32</f>
        <v>119774188.5720844</v>
      </c>
      <c r="H67" s="16">
        <f t="shared" si="11"/>
        <v>1197741.8857208439</v>
      </c>
      <c r="I67">
        <v>12</v>
      </c>
      <c r="J67">
        <v>26</v>
      </c>
      <c r="K67">
        <v>11</v>
      </c>
      <c r="L67">
        <v>32</v>
      </c>
      <c r="M67" s="35">
        <f>Befolkning!G37</f>
        <v>3059</v>
      </c>
    </row>
    <row r="68" spans="1:14" x14ac:dyDescent="0.35">
      <c r="A68" t="s">
        <v>151</v>
      </c>
      <c r="B68" s="13" t="s">
        <v>309</v>
      </c>
      <c r="C68" s="34">
        <v>60360</v>
      </c>
      <c r="D68" s="34">
        <v>20473</v>
      </c>
      <c r="E68" s="35">
        <f t="shared" si="9"/>
        <v>80833</v>
      </c>
      <c r="F68" s="2">
        <f t="shared" si="10"/>
        <v>0.7467247287617681</v>
      </c>
      <c r="G68" s="16">
        <f>'Lokal ligning'!F40</f>
        <v>107107054.06824212</v>
      </c>
      <c r="H68" s="16">
        <f t="shared" si="11"/>
        <v>1071070.5406824213</v>
      </c>
      <c r="I68">
        <v>24</v>
      </c>
      <c r="J68">
        <v>48</v>
      </c>
      <c r="K68">
        <v>20</v>
      </c>
      <c r="L68">
        <v>31</v>
      </c>
      <c r="M68" s="35">
        <f>Befolkning!G47</f>
        <v>639</v>
      </c>
    </row>
    <row r="69" spans="1:14" x14ac:dyDescent="0.35">
      <c r="A69" t="s">
        <v>151</v>
      </c>
      <c r="B69" s="13" t="s">
        <v>310</v>
      </c>
      <c r="C69" s="34">
        <v>34096</v>
      </c>
      <c r="D69" s="34">
        <v>10719</v>
      </c>
      <c r="E69" s="35">
        <f t="shared" si="9"/>
        <v>44815</v>
      </c>
      <c r="F69" s="2">
        <f t="shared" si="10"/>
        <v>0.76081669084012049</v>
      </c>
      <c r="G69" s="16">
        <f>'Lokal ligning'!F47</f>
        <v>65378083.482812852</v>
      </c>
      <c r="H69" s="16">
        <f t="shared" si="11"/>
        <v>653780.83482812857</v>
      </c>
      <c r="I69">
        <v>17</v>
      </c>
      <c r="J69">
        <v>30</v>
      </c>
      <c r="K69">
        <v>11</v>
      </c>
      <c r="L69">
        <v>17</v>
      </c>
      <c r="M69" s="35">
        <f>Befolkning!G50</f>
        <v>-1671</v>
      </c>
    </row>
    <row r="70" spans="1:14" x14ac:dyDescent="0.35">
      <c r="A70" t="s">
        <v>151</v>
      </c>
      <c r="B70" s="13" t="s">
        <v>311</v>
      </c>
      <c r="C70" s="34">
        <v>47101</v>
      </c>
      <c r="D70" s="34">
        <v>14938</v>
      </c>
      <c r="E70" s="35">
        <f t="shared" si="9"/>
        <v>62039</v>
      </c>
      <c r="F70" s="2">
        <f t="shared" si="10"/>
        <v>0.75921597704669641</v>
      </c>
      <c r="G70" s="16">
        <f>'Lokal ligning'!F37+'Lokal ligning'!F41</f>
        <v>98695005.112186879</v>
      </c>
      <c r="H70" s="16">
        <f t="shared" si="11"/>
        <v>986950.05112186878</v>
      </c>
      <c r="I70">
        <v>25</v>
      </c>
      <c r="J70">
        <v>40</v>
      </c>
      <c r="K70">
        <v>15</v>
      </c>
      <c r="L70">
        <v>21</v>
      </c>
      <c r="M70" s="35">
        <f>Befolkning!G39+Befolkning!G49</f>
        <v>809</v>
      </c>
    </row>
    <row r="71" spans="1:14" x14ac:dyDescent="0.35">
      <c r="A71" s="12" t="s">
        <v>151</v>
      </c>
      <c r="C71" s="32">
        <f>SUM(C59:C70)</f>
        <v>560751</v>
      </c>
      <c r="D71" s="32">
        <f>SUM(D59:D70)</f>
        <v>200312</v>
      </c>
      <c r="E71" s="32">
        <f>SUM(E59:E70)</f>
        <v>761063</v>
      </c>
      <c r="F71" s="14">
        <f t="shared" si="10"/>
        <v>0.73679971303295522</v>
      </c>
      <c r="G71" s="15">
        <f>SUM(G59:G70)</f>
        <v>1047667968.3543545</v>
      </c>
      <c r="H71" s="16">
        <f t="shared" si="11"/>
        <v>10476679.683543546</v>
      </c>
      <c r="I71" s="22">
        <f>SUM(I59:I70)</f>
        <v>214</v>
      </c>
      <c r="J71" s="22">
        <f>SUM(J59:J70)</f>
        <v>379</v>
      </c>
      <c r="K71" s="22">
        <f>SUM(K59:K70)</f>
        <v>157</v>
      </c>
      <c r="L71" s="22">
        <f>SUM(L59:L70)+4</f>
        <v>284</v>
      </c>
      <c r="M71" s="32">
        <f>SUM(M59:M70)</f>
        <v>13148</v>
      </c>
      <c r="N71" s="30">
        <f>M71/E71</f>
        <v>1.7275836560179645E-2</v>
      </c>
    </row>
    <row r="72" spans="1:14" x14ac:dyDescent="0.35">
      <c r="A72" t="s">
        <v>210</v>
      </c>
      <c r="B72" s="13" t="s">
        <v>313</v>
      </c>
      <c r="C72" s="34">
        <v>31342</v>
      </c>
      <c r="D72" s="34">
        <v>6474</v>
      </c>
      <c r="E72" s="35">
        <f t="shared" ref="E72:E82" si="12">C72+D72</f>
        <v>37816</v>
      </c>
      <c r="F72" s="2">
        <f t="shared" si="10"/>
        <v>0.82880262322826315</v>
      </c>
      <c r="G72" s="16">
        <f>'Lokal ligning'!F72</f>
        <v>128757943.78970549</v>
      </c>
      <c r="H72" s="16">
        <f t="shared" si="11"/>
        <v>1287579.4378970549</v>
      </c>
      <c r="I72">
        <v>19</v>
      </c>
      <c r="J72">
        <v>25</v>
      </c>
      <c r="K72">
        <v>8</v>
      </c>
      <c r="L72">
        <v>18</v>
      </c>
      <c r="M72" s="35">
        <f>Befolkning!G84</f>
        <v>-1643</v>
      </c>
    </row>
    <row r="73" spans="1:14" x14ac:dyDescent="0.35">
      <c r="A73" t="s">
        <v>210</v>
      </c>
      <c r="B73" s="13" t="s">
        <v>314</v>
      </c>
      <c r="C73" s="34">
        <v>39806</v>
      </c>
      <c r="D73" s="34">
        <v>13233</v>
      </c>
      <c r="E73" s="35">
        <f t="shared" si="12"/>
        <v>53039</v>
      </c>
      <c r="F73" s="2">
        <f t="shared" si="10"/>
        <v>0.75050434585870773</v>
      </c>
      <c r="H73" s="16">
        <f t="shared" si="11"/>
        <v>0</v>
      </c>
      <c r="I73">
        <v>15</v>
      </c>
      <c r="J73">
        <v>21</v>
      </c>
      <c r="K73">
        <v>11</v>
      </c>
      <c r="L73">
        <v>20</v>
      </c>
    </row>
    <row r="74" spans="1:14" x14ac:dyDescent="0.35">
      <c r="A74" t="s">
        <v>210</v>
      </c>
      <c r="B74" s="13" t="s">
        <v>315</v>
      </c>
      <c r="C74" s="34">
        <v>43624</v>
      </c>
      <c r="D74" s="34">
        <v>9759</v>
      </c>
      <c r="E74" s="35">
        <f t="shared" si="12"/>
        <v>53383</v>
      </c>
      <c r="F74" s="2">
        <f t="shared" si="10"/>
        <v>0.81718899275050105</v>
      </c>
      <c r="G74" s="16">
        <f>'Lokal ligning'!F73</f>
        <v>94725524.028761923</v>
      </c>
      <c r="H74" s="16">
        <f t="shared" si="11"/>
        <v>947255.24028761929</v>
      </c>
      <c r="I74">
        <v>18</v>
      </c>
      <c r="J74">
        <v>26</v>
      </c>
      <c r="K74">
        <v>12</v>
      </c>
      <c r="L74">
        <v>22</v>
      </c>
      <c r="M74" s="35">
        <f>Befolkning!G85</f>
        <v>-1441</v>
      </c>
    </row>
    <row r="75" spans="1:14" x14ac:dyDescent="0.35">
      <c r="A75" t="s">
        <v>210</v>
      </c>
      <c r="B75" s="13" t="s">
        <v>316</v>
      </c>
      <c r="C75" s="34">
        <v>43747</v>
      </c>
      <c r="D75" s="34">
        <v>12776</v>
      </c>
      <c r="E75" s="35">
        <f t="shared" si="12"/>
        <v>56523</v>
      </c>
      <c r="F75" s="2">
        <f t="shared" si="10"/>
        <v>0.77396811917272612</v>
      </c>
      <c r="G75" s="16">
        <f>'Lokal ligning'!F85</f>
        <v>56768681.121194519</v>
      </c>
      <c r="H75" s="16">
        <f t="shared" si="11"/>
        <v>567686.81121194526</v>
      </c>
      <c r="I75">
        <v>21</v>
      </c>
      <c r="J75">
        <v>28</v>
      </c>
      <c r="K75">
        <v>14</v>
      </c>
      <c r="L75">
        <v>21</v>
      </c>
      <c r="M75" s="35">
        <f>Befolkning!G86</f>
        <v>1392</v>
      </c>
    </row>
    <row r="76" spans="1:14" x14ac:dyDescent="0.35">
      <c r="A76" t="s">
        <v>210</v>
      </c>
      <c r="B76" s="13" t="s">
        <v>317</v>
      </c>
      <c r="C76" s="34">
        <v>15498</v>
      </c>
      <c r="D76" s="34">
        <v>3028</v>
      </c>
      <c r="E76" s="35">
        <f t="shared" si="12"/>
        <v>18526</v>
      </c>
      <c r="F76" s="2">
        <f t="shared" si="10"/>
        <v>0.83655403217100288</v>
      </c>
      <c r="G76" s="16">
        <f>'Lokal ligning'!F74</f>
        <v>40154232.839045338</v>
      </c>
      <c r="H76" s="16">
        <f t="shared" si="11"/>
        <v>401542.32839045342</v>
      </c>
      <c r="I76">
        <v>13</v>
      </c>
      <c r="J76">
        <v>31</v>
      </c>
      <c r="K76">
        <v>7</v>
      </c>
      <c r="L76">
        <v>12</v>
      </c>
      <c r="M76" s="35">
        <f>Befolkning!G87</f>
        <v>-2177</v>
      </c>
    </row>
    <row r="77" spans="1:14" x14ac:dyDescent="0.35">
      <c r="A77" t="s">
        <v>210</v>
      </c>
      <c r="B77" s="13" t="s">
        <v>318</v>
      </c>
      <c r="C77" s="34">
        <v>14255</v>
      </c>
      <c r="D77" s="34">
        <v>2687</v>
      </c>
      <c r="E77" s="35">
        <f t="shared" si="12"/>
        <v>16942</v>
      </c>
      <c r="F77" s="2">
        <f t="shared" si="10"/>
        <v>0.84140007082989021</v>
      </c>
      <c r="G77" s="16">
        <f>'Lokal ligning'!F89</f>
        <v>76925321.181045517</v>
      </c>
      <c r="H77" s="16">
        <f t="shared" si="11"/>
        <v>769253.21181045519</v>
      </c>
      <c r="I77">
        <v>13</v>
      </c>
      <c r="J77">
        <v>33</v>
      </c>
      <c r="K77">
        <v>5</v>
      </c>
      <c r="L77">
        <v>9</v>
      </c>
      <c r="M77" s="35">
        <f>Befolkning!G89</f>
        <v>-4086</v>
      </c>
    </row>
    <row r="78" spans="1:14" x14ac:dyDescent="0.35">
      <c r="A78" t="s">
        <v>210</v>
      </c>
      <c r="B78" s="13" t="s">
        <v>319</v>
      </c>
      <c r="C78" s="34">
        <v>22758</v>
      </c>
      <c r="D78" s="34">
        <v>4586</v>
      </c>
      <c r="E78" s="35">
        <f t="shared" si="12"/>
        <v>27344</v>
      </c>
      <c r="F78" s="2">
        <f t="shared" si="10"/>
        <v>0.83228496196606205</v>
      </c>
      <c r="H78" s="16">
        <f t="shared" si="11"/>
        <v>0</v>
      </c>
      <c r="I78">
        <v>11</v>
      </c>
      <c r="J78">
        <v>16</v>
      </c>
      <c r="K78">
        <v>7</v>
      </c>
      <c r="L78">
        <v>10</v>
      </c>
    </row>
    <row r="79" spans="1:14" x14ac:dyDescent="0.35">
      <c r="A79" t="s">
        <v>210</v>
      </c>
      <c r="B79" s="13" t="s">
        <v>320</v>
      </c>
      <c r="C79" s="34">
        <v>16291</v>
      </c>
      <c r="D79" s="34">
        <v>3861</v>
      </c>
      <c r="E79" s="35">
        <f t="shared" si="12"/>
        <v>20152</v>
      </c>
      <c r="F79" s="2">
        <f t="shared" si="10"/>
        <v>0.80840611353711789</v>
      </c>
      <c r="G79" s="16">
        <f>'Lokal ligning'!F75</f>
        <v>37453966.520177029</v>
      </c>
      <c r="H79" s="16">
        <f t="shared" si="11"/>
        <v>374539.66520177032</v>
      </c>
      <c r="I79">
        <v>8</v>
      </c>
      <c r="J79">
        <v>18</v>
      </c>
      <c r="K79">
        <v>6</v>
      </c>
      <c r="L79">
        <v>10</v>
      </c>
      <c r="M79" s="35">
        <f>Befolkning!G90</f>
        <v>-2126</v>
      </c>
    </row>
    <row r="80" spans="1:14" x14ac:dyDescent="0.35">
      <c r="A80" t="s">
        <v>210</v>
      </c>
      <c r="B80" s="13" t="s">
        <v>321</v>
      </c>
      <c r="C80" s="34">
        <v>29509</v>
      </c>
      <c r="D80" s="34">
        <v>6098</v>
      </c>
      <c r="E80" s="35">
        <f t="shared" si="12"/>
        <v>35607</v>
      </c>
      <c r="F80" s="2">
        <f t="shared" si="10"/>
        <v>0.82874153958491303</v>
      </c>
      <c r="G80" s="16">
        <f>'Lokal ligning'!F94</f>
        <v>65997549.924705401</v>
      </c>
      <c r="H80" s="16">
        <f t="shared" si="11"/>
        <v>659975.49924705399</v>
      </c>
      <c r="I80">
        <v>25</v>
      </c>
      <c r="J80">
        <v>39</v>
      </c>
      <c r="K80">
        <v>15</v>
      </c>
      <c r="L80">
        <v>15</v>
      </c>
      <c r="M80" s="35">
        <f>Befolkning!G101</f>
        <v>-2440</v>
      </c>
    </row>
    <row r="81" spans="1:14" x14ac:dyDescent="0.35">
      <c r="A81" t="s">
        <v>210</v>
      </c>
      <c r="B81" s="13" t="s">
        <v>322</v>
      </c>
      <c r="C81" s="34">
        <v>49604</v>
      </c>
      <c r="D81" s="34">
        <v>12776</v>
      </c>
      <c r="E81" s="35">
        <f t="shared" si="12"/>
        <v>62380</v>
      </c>
      <c r="F81" s="2">
        <f t="shared" si="10"/>
        <v>0.79519076627124075</v>
      </c>
      <c r="G81" s="16">
        <f>'Lokal ligning'!F91</f>
        <v>135013981.75554636</v>
      </c>
      <c r="H81" s="16">
        <f t="shared" si="11"/>
        <v>1350139.8175554636</v>
      </c>
      <c r="I81">
        <v>24</v>
      </c>
      <c r="J81">
        <v>37</v>
      </c>
      <c r="K81">
        <v>13</v>
      </c>
      <c r="L81">
        <v>27</v>
      </c>
      <c r="M81" s="35">
        <f>Befolkning!G91</f>
        <v>-1852</v>
      </c>
    </row>
    <row r="82" spans="1:14" x14ac:dyDescent="0.35">
      <c r="A82" t="s">
        <v>210</v>
      </c>
      <c r="B82" s="13" t="s">
        <v>323</v>
      </c>
      <c r="C82" s="34">
        <v>30280</v>
      </c>
      <c r="D82" s="34">
        <v>6077</v>
      </c>
      <c r="E82" s="35">
        <f t="shared" si="12"/>
        <v>36357</v>
      </c>
      <c r="F82" s="2">
        <f t="shared" si="10"/>
        <v>0.83285199548917677</v>
      </c>
      <c r="H82" s="16">
        <f t="shared" si="11"/>
        <v>0</v>
      </c>
      <c r="I82">
        <v>25</v>
      </c>
      <c r="J82">
        <v>39</v>
      </c>
      <c r="K82">
        <v>16</v>
      </c>
      <c r="L82">
        <v>19</v>
      </c>
    </row>
    <row r="83" spans="1:14" x14ac:dyDescent="0.35">
      <c r="A83" s="12" t="s">
        <v>210</v>
      </c>
      <c r="C83" s="32">
        <f>SUM(C72:C82)</f>
        <v>336714</v>
      </c>
      <c r="D83" s="32">
        <f>SUM(D72:D82)</f>
        <v>81355</v>
      </c>
      <c r="E83" s="32">
        <f>SUM(E72:E82)</f>
        <v>418069</v>
      </c>
      <c r="F83" s="14">
        <f t="shared" si="10"/>
        <v>0.80540293587900558</v>
      </c>
      <c r="G83" s="15">
        <f>SUM(G72:G82)</f>
        <v>635797201.16018152</v>
      </c>
      <c r="H83" s="15">
        <f t="shared" si="11"/>
        <v>6357972.011601815</v>
      </c>
      <c r="I83" s="22">
        <f>SUM(I72:I82)</f>
        <v>192</v>
      </c>
      <c r="J83" s="22">
        <f>SUM(J72:J82)</f>
        <v>313</v>
      </c>
      <c r="K83" s="22">
        <f>SUM(K72:K82)</f>
        <v>114</v>
      </c>
      <c r="L83" s="22">
        <f>SUM(L72:L82)</f>
        <v>183</v>
      </c>
      <c r="M83" s="37">
        <f>SUM(M72:M82)</f>
        <v>-14373</v>
      </c>
      <c r="N83" s="30">
        <f>M83/E83</f>
        <v>-3.4379492380444375E-2</v>
      </c>
    </row>
    <row r="84" spans="1:14" x14ac:dyDescent="0.35">
      <c r="A84" t="s">
        <v>218</v>
      </c>
      <c r="B84" s="13" t="s">
        <v>325</v>
      </c>
      <c r="C84" s="34">
        <v>30636</v>
      </c>
      <c r="D84" s="34">
        <v>5997</v>
      </c>
      <c r="E84" s="35">
        <f t="shared" ref="E84:E112" si="13">C84+D84</f>
        <v>36633</v>
      </c>
      <c r="F84" s="2">
        <f t="shared" si="10"/>
        <v>0.83629514372287284</v>
      </c>
      <c r="G84" s="16">
        <f>'Lokal ligning'!F92</f>
        <v>57727306.016446084</v>
      </c>
      <c r="H84" s="16">
        <f t="shared" si="11"/>
        <v>577273.0601644608</v>
      </c>
      <c r="I84">
        <v>11</v>
      </c>
      <c r="J84">
        <v>22</v>
      </c>
      <c r="K84">
        <v>9</v>
      </c>
      <c r="L84">
        <v>13</v>
      </c>
      <c r="M84" s="35">
        <f>Befolkning!G92</f>
        <v>163</v>
      </c>
    </row>
    <row r="85" spans="1:14" x14ac:dyDescent="0.35">
      <c r="A85" t="s">
        <v>218</v>
      </c>
      <c r="B85" s="13" t="s">
        <v>326</v>
      </c>
      <c r="C85" s="34">
        <v>46651</v>
      </c>
      <c r="D85" s="34">
        <v>10792</v>
      </c>
      <c r="E85" s="35">
        <f t="shared" si="13"/>
        <v>57443</v>
      </c>
      <c r="F85" s="2">
        <f t="shared" si="10"/>
        <v>0.81212680396218861</v>
      </c>
      <c r="G85" s="16">
        <f>'Lokal ligning'!F93</f>
        <v>89509754.768707663</v>
      </c>
      <c r="H85" s="16">
        <f t="shared" si="11"/>
        <v>895097.54768707661</v>
      </c>
      <c r="I85">
        <v>13</v>
      </c>
      <c r="J85">
        <v>32</v>
      </c>
      <c r="K85">
        <v>13</v>
      </c>
      <c r="L85">
        <v>21</v>
      </c>
      <c r="M85" s="35">
        <f>Befolkning!G93</f>
        <v>-4347</v>
      </c>
    </row>
    <row r="86" spans="1:14" x14ac:dyDescent="0.35">
      <c r="A86" t="s">
        <v>218</v>
      </c>
      <c r="B86" s="13" t="s">
        <v>327</v>
      </c>
      <c r="C86" s="34">
        <v>14937</v>
      </c>
      <c r="D86" s="34">
        <v>2764</v>
      </c>
      <c r="E86" s="35">
        <f t="shared" si="13"/>
        <v>17701</v>
      </c>
      <c r="F86" s="2">
        <f t="shared" si="10"/>
        <v>0.84385062990791482</v>
      </c>
      <c r="H86" s="16">
        <f t="shared" si="11"/>
        <v>0</v>
      </c>
      <c r="I86">
        <v>11</v>
      </c>
      <c r="J86">
        <v>14</v>
      </c>
      <c r="K86">
        <v>7</v>
      </c>
      <c r="L86">
        <v>11</v>
      </c>
    </row>
    <row r="87" spans="1:14" x14ac:dyDescent="0.35">
      <c r="A87" t="s">
        <v>218</v>
      </c>
      <c r="B87" s="13" t="s">
        <v>328</v>
      </c>
      <c r="C87" s="34">
        <v>19297</v>
      </c>
      <c r="D87" s="34">
        <v>3736</v>
      </c>
      <c r="E87" s="35">
        <f t="shared" si="13"/>
        <v>23033</v>
      </c>
      <c r="F87" s="2">
        <f t="shared" si="10"/>
        <v>0.83779794208309821</v>
      </c>
      <c r="G87" s="16">
        <f>'Lokal ligning'!F95+'Lokal ligning'!F100</f>
        <v>117898850.91930024</v>
      </c>
      <c r="H87" s="16">
        <f t="shared" si="11"/>
        <v>1178988.5091930025</v>
      </c>
      <c r="I87">
        <v>13</v>
      </c>
      <c r="J87">
        <v>23</v>
      </c>
      <c r="K87">
        <v>9</v>
      </c>
      <c r="L87">
        <v>14</v>
      </c>
      <c r="M87" s="35">
        <f>Befolkning!G94+Befolkning!G96</f>
        <v>-4233</v>
      </c>
    </row>
    <row r="88" spans="1:14" x14ac:dyDescent="0.35">
      <c r="A88" t="s">
        <v>218</v>
      </c>
      <c r="B88" s="13" t="s">
        <v>329</v>
      </c>
      <c r="C88" s="34">
        <v>34323</v>
      </c>
      <c r="D88" s="34">
        <v>7252</v>
      </c>
      <c r="E88" s="35">
        <f t="shared" si="13"/>
        <v>41575</v>
      </c>
      <c r="F88" s="2">
        <f t="shared" si="10"/>
        <v>0.82556825015033075</v>
      </c>
      <c r="H88" s="16">
        <f t="shared" si="11"/>
        <v>0</v>
      </c>
      <c r="I88">
        <v>15</v>
      </c>
      <c r="J88">
        <v>30</v>
      </c>
      <c r="K88">
        <v>9</v>
      </c>
      <c r="L88">
        <v>15</v>
      </c>
    </row>
    <row r="89" spans="1:14" x14ac:dyDescent="0.35">
      <c r="A89" t="s">
        <v>218</v>
      </c>
      <c r="B89" s="13" t="s">
        <v>330</v>
      </c>
      <c r="C89" s="34">
        <v>31781</v>
      </c>
      <c r="D89" s="34">
        <v>6152</v>
      </c>
      <c r="E89" s="35">
        <f t="shared" si="13"/>
        <v>37933</v>
      </c>
      <c r="F89" s="2">
        <f t="shared" si="10"/>
        <v>0.83781931299923551</v>
      </c>
      <c r="G89" s="16">
        <f>'Lokal ligning'!F98</f>
        <v>68522963.435305893</v>
      </c>
      <c r="H89" s="16">
        <f t="shared" si="11"/>
        <v>685229.63435305899</v>
      </c>
      <c r="I89">
        <v>16</v>
      </c>
      <c r="J89">
        <v>33</v>
      </c>
      <c r="K89">
        <v>14</v>
      </c>
      <c r="L89">
        <v>13</v>
      </c>
      <c r="M89" s="35">
        <f>Befolkning!G95</f>
        <v>-1933</v>
      </c>
    </row>
    <row r="90" spans="1:14" x14ac:dyDescent="0.35">
      <c r="A90" t="s">
        <v>218</v>
      </c>
      <c r="B90" s="13" t="s">
        <v>331</v>
      </c>
      <c r="C90" s="34">
        <v>15681</v>
      </c>
      <c r="D90" s="34">
        <v>3648</v>
      </c>
      <c r="E90" s="35">
        <f t="shared" si="13"/>
        <v>19329</v>
      </c>
      <c r="F90" s="2">
        <f t="shared" si="10"/>
        <v>0.81126804283718768</v>
      </c>
      <c r="G90" s="16">
        <f>'Lokal ligning'!F88</f>
        <v>34931461.831136174</v>
      </c>
      <c r="H90" s="16">
        <f t="shared" si="11"/>
        <v>349314.61831136176</v>
      </c>
      <c r="I90">
        <v>16</v>
      </c>
      <c r="J90">
        <v>34</v>
      </c>
      <c r="K90">
        <v>8</v>
      </c>
      <c r="L90">
        <v>7</v>
      </c>
      <c r="M90" s="35">
        <f>Befolkning!G98</f>
        <v>-1797</v>
      </c>
    </row>
    <row r="91" spans="1:14" x14ac:dyDescent="0.35">
      <c r="A91" t="s">
        <v>218</v>
      </c>
      <c r="B91" s="13" t="s">
        <v>332</v>
      </c>
      <c r="C91" s="34">
        <v>25824</v>
      </c>
      <c r="D91" s="34">
        <v>5452</v>
      </c>
      <c r="E91" s="35">
        <f t="shared" si="13"/>
        <v>31276</v>
      </c>
      <c r="F91" s="2">
        <f t="shared" si="10"/>
        <v>0.82568103338022769</v>
      </c>
      <c r="G91" s="16">
        <f>'Lokal ligning'!F96</f>
        <v>59928177.931609631</v>
      </c>
      <c r="H91" s="16">
        <f t="shared" si="11"/>
        <v>599281.77931609633</v>
      </c>
      <c r="I91">
        <v>16</v>
      </c>
      <c r="J91">
        <v>30</v>
      </c>
      <c r="K91">
        <v>9</v>
      </c>
      <c r="L91">
        <v>13</v>
      </c>
      <c r="M91" s="35">
        <f>Befolkning!G99</f>
        <v>-365</v>
      </c>
    </row>
    <row r="92" spans="1:14" x14ac:dyDescent="0.35">
      <c r="A92" t="s">
        <v>218</v>
      </c>
      <c r="B92" s="13" t="s">
        <v>333</v>
      </c>
      <c r="C92" s="34">
        <v>10580</v>
      </c>
      <c r="D92" s="34">
        <v>1919</v>
      </c>
      <c r="E92" s="35">
        <f t="shared" si="13"/>
        <v>12499</v>
      </c>
      <c r="F92" s="2">
        <f t="shared" si="10"/>
        <v>0.84646771741739335</v>
      </c>
      <c r="H92" s="16">
        <f t="shared" si="11"/>
        <v>0</v>
      </c>
      <c r="I92">
        <v>14</v>
      </c>
      <c r="J92">
        <v>26</v>
      </c>
      <c r="K92">
        <v>8</v>
      </c>
      <c r="L92">
        <v>7</v>
      </c>
    </row>
    <row r="93" spans="1:14" x14ac:dyDescent="0.35">
      <c r="A93" t="s">
        <v>218</v>
      </c>
      <c r="B93" s="13" t="s">
        <v>334</v>
      </c>
      <c r="C93" s="34">
        <v>23769</v>
      </c>
      <c r="D93" s="34">
        <v>6276</v>
      </c>
      <c r="E93" s="35">
        <f t="shared" si="13"/>
        <v>30045</v>
      </c>
      <c r="F93" s="2">
        <f t="shared" si="10"/>
        <v>0.79111333000499251</v>
      </c>
      <c r="G93" s="16">
        <f>'Lokal ligning'!F90</f>
        <v>80838764.335113972</v>
      </c>
      <c r="H93" s="16">
        <f t="shared" si="11"/>
        <v>808387.64335113973</v>
      </c>
      <c r="I93">
        <v>19</v>
      </c>
      <c r="J93">
        <v>35</v>
      </c>
      <c r="K93">
        <v>10</v>
      </c>
      <c r="L93">
        <v>12</v>
      </c>
      <c r="M93" s="35">
        <f>Befolkning!G100</f>
        <v>-2297</v>
      </c>
    </row>
    <row r="94" spans="1:14" x14ac:dyDescent="0.35">
      <c r="A94" t="s">
        <v>218</v>
      </c>
      <c r="B94" s="13" t="s">
        <v>335</v>
      </c>
      <c r="C94" s="34">
        <v>61503</v>
      </c>
      <c r="D94" s="34">
        <v>23110</v>
      </c>
      <c r="E94" s="35">
        <f t="shared" si="13"/>
        <v>84613</v>
      </c>
      <c r="F94" s="2">
        <f t="shared" si="10"/>
        <v>0.72687412099795534</v>
      </c>
      <c r="G94" s="16">
        <f>'Lokal ligning'!F99</f>
        <v>306527336.98736632</v>
      </c>
      <c r="H94" s="16">
        <f t="shared" si="11"/>
        <v>3065273.3698736634</v>
      </c>
      <c r="I94">
        <v>10</v>
      </c>
      <c r="J94">
        <v>15</v>
      </c>
      <c r="K94">
        <v>10</v>
      </c>
      <c r="L94">
        <v>30</v>
      </c>
      <c r="M94" s="35">
        <f>Befolkning!G102</f>
        <v>10418</v>
      </c>
    </row>
    <row r="95" spans="1:14" x14ac:dyDescent="0.35">
      <c r="A95" t="s">
        <v>218</v>
      </c>
      <c r="B95" s="13" t="s">
        <v>336</v>
      </c>
      <c r="C95" s="34">
        <v>42762</v>
      </c>
      <c r="D95" s="34">
        <v>11655</v>
      </c>
      <c r="E95" s="35">
        <f t="shared" si="13"/>
        <v>54417</v>
      </c>
      <c r="F95" s="2">
        <f t="shared" si="10"/>
        <v>0.7858206075307349</v>
      </c>
      <c r="H95" s="16">
        <f t="shared" si="11"/>
        <v>0</v>
      </c>
      <c r="I95">
        <v>13</v>
      </c>
      <c r="J95">
        <v>24</v>
      </c>
      <c r="K95">
        <v>12</v>
      </c>
      <c r="L95">
        <v>20</v>
      </c>
    </row>
    <row r="96" spans="1:14" x14ac:dyDescent="0.35">
      <c r="A96" t="s">
        <v>218</v>
      </c>
      <c r="B96" s="13" t="s">
        <v>337</v>
      </c>
      <c r="C96" s="34">
        <v>22875</v>
      </c>
      <c r="D96" s="34">
        <v>4368</v>
      </c>
      <c r="E96" s="35">
        <f t="shared" si="13"/>
        <v>27243</v>
      </c>
      <c r="F96" s="2">
        <f t="shared" si="10"/>
        <v>0.83966523510626578</v>
      </c>
      <c r="H96" s="16">
        <f t="shared" si="11"/>
        <v>0</v>
      </c>
      <c r="I96">
        <v>10</v>
      </c>
      <c r="J96">
        <v>18</v>
      </c>
      <c r="K96">
        <v>8</v>
      </c>
      <c r="L96">
        <v>12</v>
      </c>
    </row>
    <row r="97" spans="1:14" x14ac:dyDescent="0.35">
      <c r="A97" t="s">
        <v>218</v>
      </c>
      <c r="B97" s="13" t="s">
        <v>338</v>
      </c>
      <c r="C97" s="34">
        <v>44981</v>
      </c>
      <c r="D97" s="34">
        <v>15025</v>
      </c>
      <c r="E97" s="35">
        <f t="shared" si="13"/>
        <v>60006</v>
      </c>
      <c r="F97" s="2">
        <f t="shared" si="10"/>
        <v>0.7496083724960837</v>
      </c>
      <c r="H97" s="16">
        <f t="shared" si="11"/>
        <v>0</v>
      </c>
      <c r="I97">
        <v>12</v>
      </c>
      <c r="J97">
        <v>21</v>
      </c>
      <c r="K97">
        <v>9</v>
      </c>
      <c r="L97">
        <v>20</v>
      </c>
    </row>
    <row r="98" spans="1:14" x14ac:dyDescent="0.35">
      <c r="A98" s="12" t="s">
        <v>218</v>
      </c>
      <c r="C98" s="32">
        <f>SUM(C84:C97)</f>
        <v>425600</v>
      </c>
      <c r="D98" s="32">
        <f>SUM(D84:D97)</f>
        <v>108146</v>
      </c>
      <c r="E98" s="32">
        <f t="shared" si="13"/>
        <v>533746</v>
      </c>
      <c r="F98" s="14">
        <f t="shared" ref="F98:F113" si="14">C98/E98</f>
        <v>0.79738302488449564</v>
      </c>
      <c r="G98" s="15">
        <f>SUM(G84:G97)</f>
        <v>815884616.22498596</v>
      </c>
      <c r="H98" s="15">
        <f t="shared" ref="H98:H113" si="15">G98*1%</f>
        <v>8158846.1622498594</v>
      </c>
      <c r="I98" s="22">
        <f>SUM(I84:I97)</f>
        <v>189</v>
      </c>
      <c r="J98" s="22">
        <f>SUM(J84:J97)</f>
        <v>357</v>
      </c>
      <c r="K98" s="22">
        <f>SUM(K84:K97)</f>
        <v>135</v>
      </c>
      <c r="L98" s="22">
        <f>SUM(L84:L97)+8</f>
        <v>216</v>
      </c>
      <c r="M98" s="32">
        <f>SUM(M84:M97)</f>
        <v>-4391</v>
      </c>
      <c r="N98" s="30">
        <f>M98/E98</f>
        <v>-8.2267595448022087E-3</v>
      </c>
    </row>
    <row r="99" spans="1:14" x14ac:dyDescent="0.35">
      <c r="A99" t="s">
        <v>203</v>
      </c>
      <c r="B99" s="13" t="s">
        <v>340</v>
      </c>
      <c r="C99" s="34">
        <v>39604</v>
      </c>
      <c r="D99" s="34">
        <v>10196</v>
      </c>
      <c r="E99" s="35">
        <f t="shared" si="13"/>
        <v>49800</v>
      </c>
      <c r="F99" s="2">
        <f t="shared" si="14"/>
        <v>0.79526104417670684</v>
      </c>
      <c r="G99" s="16">
        <f>'Lokal ligning'!F78</f>
        <v>72248696.573804796</v>
      </c>
      <c r="H99" s="16">
        <f t="shared" si="15"/>
        <v>722486.96573804796</v>
      </c>
      <c r="I99">
        <v>15</v>
      </c>
      <c r="J99">
        <v>41</v>
      </c>
      <c r="K99">
        <v>9</v>
      </c>
      <c r="L99">
        <v>22</v>
      </c>
      <c r="M99" s="35">
        <f>Befolkning!G73</f>
        <v>2833</v>
      </c>
    </row>
    <row r="100" spans="1:14" x14ac:dyDescent="0.35">
      <c r="A100" t="s">
        <v>203</v>
      </c>
      <c r="B100" s="13" t="s">
        <v>341</v>
      </c>
      <c r="C100" s="34">
        <v>18819</v>
      </c>
      <c r="D100" s="34">
        <v>4992</v>
      </c>
      <c r="E100" s="35">
        <f t="shared" si="13"/>
        <v>23811</v>
      </c>
      <c r="F100" s="2">
        <f t="shared" si="14"/>
        <v>0.7903489983621016</v>
      </c>
      <c r="G100" s="16">
        <f>'Lokal ligning'!F97</f>
        <v>73630047.741674706</v>
      </c>
      <c r="H100" s="16">
        <f t="shared" si="15"/>
        <v>736300.47741674713</v>
      </c>
      <c r="I100">
        <v>12</v>
      </c>
      <c r="J100">
        <v>21</v>
      </c>
      <c r="K100">
        <v>7</v>
      </c>
      <c r="L100">
        <v>12</v>
      </c>
      <c r="M100" s="35">
        <f>Befolkning!G97</f>
        <v>-794</v>
      </c>
    </row>
    <row r="101" spans="1:14" x14ac:dyDescent="0.35">
      <c r="A101" t="s">
        <v>203</v>
      </c>
      <c r="B101" s="13" t="s">
        <v>342</v>
      </c>
      <c r="C101" s="34">
        <v>72401</v>
      </c>
      <c r="D101" s="34">
        <v>26686</v>
      </c>
      <c r="E101" s="35">
        <f t="shared" si="13"/>
        <v>99087</v>
      </c>
      <c r="F101" s="2">
        <f t="shared" si="14"/>
        <v>0.73068111861293605</v>
      </c>
      <c r="G101" s="16">
        <f>'Lokal ligning'!F69</f>
        <v>102345201.44893938</v>
      </c>
      <c r="H101" s="16">
        <f t="shared" si="15"/>
        <v>1023452.0144893938</v>
      </c>
      <c r="I101">
        <v>21</v>
      </c>
      <c r="J101">
        <v>37</v>
      </c>
      <c r="K101">
        <v>12</v>
      </c>
      <c r="L101">
        <v>35</v>
      </c>
      <c r="M101" s="35">
        <f>Befolkning!G75</f>
        <v>15309</v>
      </c>
    </row>
    <row r="102" spans="1:14" x14ac:dyDescent="0.35">
      <c r="A102" t="s">
        <v>203</v>
      </c>
      <c r="B102" s="13" t="s">
        <v>343</v>
      </c>
      <c r="C102" s="34">
        <v>29598</v>
      </c>
      <c r="D102" s="34">
        <v>6898</v>
      </c>
      <c r="E102" s="35">
        <f t="shared" si="13"/>
        <v>36496</v>
      </c>
      <c r="F102" s="2">
        <f t="shared" si="14"/>
        <v>0.81099298553266108</v>
      </c>
      <c r="G102" s="16">
        <f>'Lokal ligning'!F77</f>
        <v>52832802.121884726</v>
      </c>
      <c r="H102" s="16">
        <f t="shared" si="15"/>
        <v>528328.02121884725</v>
      </c>
      <c r="I102">
        <v>21</v>
      </c>
      <c r="J102">
        <v>43</v>
      </c>
      <c r="K102">
        <v>4</v>
      </c>
      <c r="L102">
        <v>17</v>
      </c>
      <c r="M102" s="35">
        <f>Befolkning!G76</f>
        <v>-583</v>
      </c>
    </row>
    <row r="103" spans="1:14" x14ac:dyDescent="0.35">
      <c r="A103" t="s">
        <v>203</v>
      </c>
      <c r="B103" s="13" t="s">
        <v>344</v>
      </c>
      <c r="C103" s="34">
        <v>19073</v>
      </c>
      <c r="D103" s="34">
        <v>5297</v>
      </c>
      <c r="E103" s="35">
        <f t="shared" si="13"/>
        <v>24370</v>
      </c>
      <c r="F103" s="2">
        <f t="shared" si="14"/>
        <v>0.78264259335248254</v>
      </c>
      <c r="G103" s="16">
        <f>'Lokal ligning'!F79</f>
        <v>33643812.863540031</v>
      </c>
      <c r="H103" s="16">
        <f t="shared" si="15"/>
        <v>336438.12863540032</v>
      </c>
      <c r="I103">
        <v>4</v>
      </c>
      <c r="J103">
        <v>17</v>
      </c>
      <c r="K103">
        <v>3</v>
      </c>
      <c r="L103">
        <v>9</v>
      </c>
      <c r="M103" s="35">
        <f>Befolkning!G77</f>
        <v>2812</v>
      </c>
    </row>
    <row r="104" spans="1:14" x14ac:dyDescent="0.35">
      <c r="A104" t="s">
        <v>203</v>
      </c>
      <c r="B104" s="13" t="s">
        <v>345</v>
      </c>
      <c r="C104" s="34">
        <v>34002</v>
      </c>
      <c r="D104" s="34">
        <v>10163</v>
      </c>
      <c r="E104" s="35">
        <f t="shared" si="13"/>
        <v>44165</v>
      </c>
      <c r="F104" s="2">
        <f t="shared" si="14"/>
        <v>0.76988565606249293</v>
      </c>
      <c r="H104" s="16">
        <f t="shared" si="15"/>
        <v>0</v>
      </c>
      <c r="I104">
        <v>15</v>
      </c>
      <c r="J104">
        <v>38</v>
      </c>
      <c r="K104">
        <v>9</v>
      </c>
      <c r="L104">
        <v>19</v>
      </c>
    </row>
    <row r="105" spans="1:14" x14ac:dyDescent="0.35">
      <c r="A105" t="s">
        <v>203</v>
      </c>
      <c r="B105" s="13" t="s">
        <v>346</v>
      </c>
      <c r="C105" s="34">
        <v>45450</v>
      </c>
      <c r="D105" s="34">
        <v>11053</v>
      </c>
      <c r="E105" s="35">
        <f t="shared" si="13"/>
        <v>56503</v>
      </c>
      <c r="F105" s="2">
        <f t="shared" si="14"/>
        <v>0.80438206820876768</v>
      </c>
      <c r="G105" s="16">
        <f>'Lokal ligning'!F80</f>
        <v>125551329.54705453</v>
      </c>
      <c r="H105" s="16">
        <f t="shared" si="15"/>
        <v>1255513.2954705453</v>
      </c>
      <c r="I105">
        <v>17</v>
      </c>
      <c r="J105">
        <v>26</v>
      </c>
      <c r="K105">
        <v>11</v>
      </c>
      <c r="L105">
        <v>21</v>
      </c>
      <c r="M105" s="35">
        <f>Befolkning!G78</f>
        <v>7343</v>
      </c>
    </row>
    <row r="106" spans="1:14" x14ac:dyDescent="0.35">
      <c r="A106" t="s">
        <v>203</v>
      </c>
      <c r="B106" s="13" t="s">
        <v>347</v>
      </c>
      <c r="C106" s="34">
        <v>68967</v>
      </c>
      <c r="D106" s="34">
        <v>19709</v>
      </c>
      <c r="E106" s="35">
        <f t="shared" si="13"/>
        <v>88676</v>
      </c>
      <c r="F106" s="2">
        <f t="shared" si="14"/>
        <v>0.7777414407505977</v>
      </c>
      <c r="G106" s="16">
        <f>'Lokal ligning'!F81</f>
        <v>141813074.77124858</v>
      </c>
      <c r="H106" s="16">
        <f t="shared" si="15"/>
        <v>1418130.7477124857</v>
      </c>
      <c r="I106">
        <v>19</v>
      </c>
      <c r="J106">
        <v>30</v>
      </c>
      <c r="K106">
        <v>14</v>
      </c>
      <c r="L106">
        <v>30</v>
      </c>
      <c r="M106" s="35">
        <f>Befolkning!G80</f>
        <v>16861</v>
      </c>
    </row>
    <row r="107" spans="1:14" x14ac:dyDescent="0.35">
      <c r="A107" t="s">
        <v>203</v>
      </c>
      <c r="B107" s="13" t="s">
        <v>348</v>
      </c>
      <c r="C107" s="34">
        <v>52414</v>
      </c>
      <c r="D107" s="34">
        <v>13829</v>
      </c>
      <c r="E107" s="35">
        <f t="shared" si="13"/>
        <v>66243</v>
      </c>
      <c r="F107" s="2">
        <f t="shared" si="14"/>
        <v>0.79123831952055312</v>
      </c>
      <c r="G107" s="16">
        <f>'Lokal ligning'!F83</f>
        <v>86652098.29020074</v>
      </c>
      <c r="H107" s="16">
        <f t="shared" si="15"/>
        <v>866520.98290200741</v>
      </c>
      <c r="I107">
        <v>17</v>
      </c>
      <c r="J107">
        <v>31</v>
      </c>
      <c r="K107">
        <v>15</v>
      </c>
      <c r="L107">
        <v>27</v>
      </c>
      <c r="M107" s="35">
        <f>Befolkning!G81</f>
        <v>5453</v>
      </c>
    </row>
    <row r="108" spans="1:14" x14ac:dyDescent="0.35">
      <c r="A108" t="s">
        <v>203</v>
      </c>
      <c r="B108" s="13" t="s">
        <v>349</v>
      </c>
      <c r="C108" s="34">
        <v>34869</v>
      </c>
      <c r="D108" s="34">
        <v>9649</v>
      </c>
      <c r="E108" s="35">
        <f t="shared" si="13"/>
        <v>44518</v>
      </c>
      <c r="F108" s="2">
        <f t="shared" si="14"/>
        <v>0.7832562109708433</v>
      </c>
      <c r="G108" s="16">
        <f>'Lokal ligning'!F76</f>
        <v>63484508.28478913</v>
      </c>
      <c r="H108" s="16">
        <f t="shared" si="15"/>
        <v>634845.08284789126</v>
      </c>
      <c r="I108">
        <v>14</v>
      </c>
      <c r="J108">
        <v>38</v>
      </c>
      <c r="K108">
        <v>12</v>
      </c>
      <c r="L108">
        <v>20</v>
      </c>
      <c r="M108" s="35">
        <f>Befolkning!G82</f>
        <v>2364</v>
      </c>
    </row>
    <row r="109" spans="1:14" x14ac:dyDescent="0.35">
      <c r="A109" t="s">
        <v>203</v>
      </c>
      <c r="B109" s="20" t="s">
        <v>350</v>
      </c>
      <c r="C109" s="34">
        <v>82342</v>
      </c>
      <c r="D109" s="34">
        <v>30241</v>
      </c>
      <c r="E109" s="35">
        <f t="shared" si="13"/>
        <v>112583</v>
      </c>
      <c r="F109" s="2">
        <f t="shared" si="14"/>
        <v>0.73138928612667986</v>
      </c>
      <c r="G109" s="16">
        <f>'Lokal ligning'!F82+'Lokal ligning'!F84</f>
        <v>361945432.26301748</v>
      </c>
      <c r="H109" s="16">
        <f t="shared" si="15"/>
        <v>3619454.3226301749</v>
      </c>
      <c r="I109">
        <v>9</v>
      </c>
      <c r="J109">
        <v>21</v>
      </c>
      <c r="K109">
        <v>9</v>
      </c>
      <c r="L109">
        <v>39</v>
      </c>
      <c r="M109" s="35">
        <f>Befolkning!G83+Befolkning!G79</f>
        <v>41347</v>
      </c>
    </row>
    <row r="110" spans="1:14" x14ac:dyDescent="0.35">
      <c r="A110" t="s">
        <v>203</v>
      </c>
      <c r="B110" s="20" t="s">
        <v>351</v>
      </c>
      <c r="C110" s="34">
        <v>64096</v>
      </c>
      <c r="D110" s="34">
        <v>25115</v>
      </c>
      <c r="E110" s="35">
        <f t="shared" si="13"/>
        <v>89211</v>
      </c>
      <c r="F110" s="2">
        <f t="shared" si="14"/>
        <v>0.71847642106915066</v>
      </c>
      <c r="H110" s="16">
        <f t="shared" si="15"/>
        <v>0</v>
      </c>
      <c r="I110">
        <v>16</v>
      </c>
      <c r="J110">
        <v>21</v>
      </c>
      <c r="K110">
        <v>13</v>
      </c>
      <c r="L110">
        <v>34</v>
      </c>
    </row>
    <row r="111" spans="1:14" x14ac:dyDescent="0.35">
      <c r="A111" t="s">
        <v>203</v>
      </c>
      <c r="B111" s="20" t="s">
        <v>352</v>
      </c>
      <c r="C111" s="34">
        <v>63969</v>
      </c>
      <c r="D111" s="34">
        <v>28850</v>
      </c>
      <c r="E111" s="35">
        <f t="shared" si="13"/>
        <v>92819</v>
      </c>
      <c r="F111" s="2">
        <f t="shared" si="14"/>
        <v>0.68918001702237686</v>
      </c>
      <c r="H111" s="16">
        <f t="shared" si="15"/>
        <v>0</v>
      </c>
      <c r="I111">
        <v>14</v>
      </c>
      <c r="J111">
        <v>20</v>
      </c>
      <c r="K111">
        <v>14</v>
      </c>
      <c r="L111">
        <v>27</v>
      </c>
    </row>
    <row r="112" spans="1:14" x14ac:dyDescent="0.35">
      <c r="A112" t="s">
        <v>203</v>
      </c>
      <c r="B112" s="20" t="s">
        <v>353</v>
      </c>
      <c r="C112" s="34">
        <v>46298</v>
      </c>
      <c r="D112" s="34">
        <v>41270</v>
      </c>
      <c r="E112" s="35">
        <f t="shared" si="13"/>
        <v>87568</v>
      </c>
      <c r="F112" s="2">
        <f t="shared" si="14"/>
        <v>0.5287091174858396</v>
      </c>
      <c r="H112" s="16">
        <f t="shared" si="15"/>
        <v>0</v>
      </c>
      <c r="I112">
        <v>13</v>
      </c>
      <c r="J112">
        <v>21</v>
      </c>
      <c r="K112">
        <v>10</v>
      </c>
      <c r="L112">
        <v>28</v>
      </c>
    </row>
    <row r="113" spans="1:14" x14ac:dyDescent="0.35">
      <c r="A113" s="12" t="s">
        <v>203</v>
      </c>
      <c r="C113" s="32">
        <f>SUM(C99:C112)</f>
        <v>671902</v>
      </c>
      <c r="D113" s="32">
        <f>SUM(D99:D112)</f>
        <v>243948</v>
      </c>
      <c r="E113" s="32">
        <f>SUM(E99:E112)</f>
        <v>915850</v>
      </c>
      <c r="F113" s="14">
        <f t="shared" si="14"/>
        <v>0.73363760441120274</v>
      </c>
      <c r="G113" s="15">
        <f>SUM(G99:G112)</f>
        <v>1114147003.9061539</v>
      </c>
      <c r="H113" s="15">
        <f t="shared" si="15"/>
        <v>11141470.039061539</v>
      </c>
      <c r="I113" s="22">
        <f>SUM(I99:I112)</f>
        <v>207</v>
      </c>
      <c r="J113" s="22">
        <f>SUM(J99:J112)</f>
        <v>405</v>
      </c>
      <c r="K113" s="22">
        <f>SUM(K99:K112)</f>
        <v>142</v>
      </c>
      <c r="L113" s="22">
        <f>SUM(L99:L112)</f>
        <v>340</v>
      </c>
      <c r="M113" s="37">
        <f>SUM(M99:M112)</f>
        <v>92945</v>
      </c>
      <c r="N113" s="30">
        <f>M113/E113</f>
        <v>0.10148495932740077</v>
      </c>
    </row>
    <row r="114" spans="1:14" x14ac:dyDescent="0.35">
      <c r="B114" t="s">
        <v>238</v>
      </c>
    </row>
    <row r="115" spans="1:14" x14ac:dyDescent="0.35">
      <c r="I115" s="18"/>
      <c r="J115" s="18"/>
      <c r="L115" s="18">
        <f>L113+L98+L83+L71+L58+L49+L44+L34+L20+L12</f>
        <v>2140</v>
      </c>
    </row>
    <row r="116" spans="1:14" x14ac:dyDescent="0.35">
      <c r="C116" s="37">
        <f>C113+C98+C83+C71+C58+C49+C44+C34+C20+C12</f>
        <v>4211598</v>
      </c>
      <c r="D116" s="37">
        <f>D113+D98+D83+D71+D58+D49+D44+D34+D20+D12</f>
        <v>1819649</v>
      </c>
      <c r="E116" s="37">
        <f>E113+E98+E83+E71+E58+E49+E44+E34+E20+E12</f>
        <v>6031247</v>
      </c>
      <c r="F116" s="22"/>
      <c r="G116" s="23">
        <f>G113+G98+G83+G71+G58+G49+G44+G34+G20+G12</f>
        <v>7325787735.0167112</v>
      </c>
      <c r="H116" s="22"/>
      <c r="I116" s="22">
        <f>I113+I98+I83+I71+I58+I49+I44+I34+I20+I12</f>
        <v>1545</v>
      </c>
      <c r="J116" s="22">
        <f>J113+J98+J83+J71+J58+J49+J44+J34+J20+J12</f>
        <v>2657</v>
      </c>
      <c r="K116" s="22">
        <f>K113+K98+K83+K71+K58+K49+K44+K34+K20+K12</f>
        <v>1145</v>
      </c>
      <c r="L116" s="22">
        <f>L113+L98+L83+L71+L58+L49+L44+L34+L20+L12</f>
        <v>2140</v>
      </c>
      <c r="M116" s="37">
        <f>M113+M98+M83+M71+M58+M49+M44+M34+M20+M12</f>
        <v>156994</v>
      </c>
      <c r="N116" s="30">
        <f>M116/E116</f>
        <v>2.6030106211866303E-2</v>
      </c>
    </row>
    <row r="117" spans="1:14" x14ac:dyDescent="0.35">
      <c r="I117" s="18"/>
      <c r="J117" s="18"/>
      <c r="L117" s="18"/>
    </row>
    <row r="118" spans="1:14" x14ac:dyDescent="0.35">
      <c r="I118" s="18"/>
      <c r="J118" s="18"/>
      <c r="L118" s="18"/>
    </row>
    <row r="119" spans="1:14" x14ac:dyDescent="0.35">
      <c r="I119" s="18"/>
      <c r="J119" s="18"/>
      <c r="L119" s="18"/>
    </row>
    <row r="120" spans="1:14" x14ac:dyDescent="0.35">
      <c r="I120" s="18"/>
      <c r="J120" s="18"/>
      <c r="L120" s="18"/>
    </row>
    <row r="121" spans="1:14" x14ac:dyDescent="0.35">
      <c r="I121" s="18"/>
      <c r="J121" s="18"/>
      <c r="L121" s="18"/>
    </row>
    <row r="122" spans="1:14" x14ac:dyDescent="0.35">
      <c r="I122" s="18"/>
      <c r="J122" s="18"/>
      <c r="L122" s="18"/>
    </row>
    <row r="123" spans="1:14" x14ac:dyDescent="0.35">
      <c r="I123" s="18"/>
      <c r="J123" s="18"/>
      <c r="L123" s="18"/>
    </row>
  </sheetData>
  <sortState xmlns:xlrd2="http://schemas.microsoft.com/office/spreadsheetml/2017/richdata2" ref="A2:N128">
    <sortCondition ref="A2:A128"/>
    <sortCondition ref="B2:B128"/>
  </sortState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5604-79B7-4123-B9E2-6AAF07EC2F8B}">
  <dimension ref="A1:I104"/>
  <sheetViews>
    <sheetView workbookViewId="0">
      <selection activeCell="B39" sqref="B39"/>
    </sheetView>
  </sheetViews>
  <sheetFormatPr defaultRowHeight="14.5" x14ac:dyDescent="0.35"/>
  <cols>
    <col min="1" max="1" width="74.1796875" bestFit="1" customWidth="1"/>
    <col min="2" max="2" width="56.81640625" bestFit="1" customWidth="1"/>
    <col min="3" max="3" width="7" bestFit="1" customWidth="1"/>
    <col min="7" max="7" width="10.7265625" bestFit="1" customWidth="1"/>
    <col min="8" max="8" width="10.7265625" customWidth="1"/>
    <col min="9" max="9" width="18.26953125" style="28" bestFit="1" customWidth="1"/>
  </cols>
  <sheetData>
    <row r="1" spans="1:9" ht="17" x14ac:dyDescent="0.4">
      <c r="B1" s="1" t="s">
        <v>220</v>
      </c>
    </row>
    <row r="2" spans="1:9" x14ac:dyDescent="0.35">
      <c r="B2" s="3" t="s">
        <v>1</v>
      </c>
    </row>
    <row r="3" spans="1:9" x14ac:dyDescent="0.35">
      <c r="A3" s="12" t="s">
        <v>231</v>
      </c>
      <c r="B3" s="12" t="s">
        <v>397</v>
      </c>
      <c r="C3" s="4" t="s">
        <v>221</v>
      </c>
      <c r="D3" s="4" t="s">
        <v>222</v>
      </c>
      <c r="E3" s="4"/>
      <c r="F3" s="4"/>
      <c r="G3" t="s">
        <v>398</v>
      </c>
      <c r="I3" s="28" t="s">
        <v>484</v>
      </c>
    </row>
    <row r="4" spans="1:9" x14ac:dyDescent="0.35">
      <c r="A4" t="s">
        <v>360</v>
      </c>
      <c r="B4" s="4" t="s">
        <v>122</v>
      </c>
      <c r="C4" s="5">
        <v>672684</v>
      </c>
      <c r="D4" s="5">
        <v>701953</v>
      </c>
      <c r="E4" s="5"/>
      <c r="F4" s="5"/>
      <c r="G4">
        <f>D4-C4</f>
        <v>29269</v>
      </c>
      <c r="I4" s="28">
        <f>G4/C4</f>
        <v>4.3510771773968164E-2</v>
      </c>
    </row>
    <row r="5" spans="1:9" x14ac:dyDescent="0.35">
      <c r="A5" t="s">
        <v>123</v>
      </c>
      <c r="B5" s="4" t="s">
        <v>123</v>
      </c>
      <c r="C5" s="5">
        <v>105909</v>
      </c>
      <c r="D5" s="5">
        <v>102108</v>
      </c>
      <c r="E5" s="5"/>
      <c r="F5" s="5"/>
      <c r="G5">
        <f t="shared" ref="G5:G68" si="0">D5-C5</f>
        <v>-3801</v>
      </c>
      <c r="I5" s="28">
        <f t="shared" ref="I5:I68" si="1">G5/C5</f>
        <v>-3.588930119253321E-2</v>
      </c>
    </row>
    <row r="6" spans="1:9" x14ac:dyDescent="0.35">
      <c r="A6" t="s">
        <v>361</v>
      </c>
      <c r="B6" s="31" t="s">
        <v>126</v>
      </c>
      <c r="C6" s="5">
        <v>14377</v>
      </c>
      <c r="D6" s="5">
        <v>13286</v>
      </c>
      <c r="E6" s="5">
        <f>C6+C7</f>
        <v>58667</v>
      </c>
      <c r="F6" s="5">
        <f>D6+D7</f>
        <v>58864</v>
      </c>
      <c r="G6">
        <f>F6-E6</f>
        <v>197</v>
      </c>
      <c r="I6" s="28">
        <f>G6/E6</f>
        <v>3.3579354662757596E-3</v>
      </c>
    </row>
    <row r="7" spans="1:9" x14ac:dyDescent="0.35">
      <c r="A7" t="s">
        <v>361</v>
      </c>
      <c r="B7" s="31" t="s">
        <v>137</v>
      </c>
      <c r="C7" s="5">
        <v>44290</v>
      </c>
      <c r="D7" s="5">
        <v>45578</v>
      </c>
      <c r="E7" s="5"/>
      <c r="F7" s="5"/>
      <c r="G7">
        <f t="shared" si="0"/>
        <v>1288</v>
      </c>
    </row>
    <row r="8" spans="1:9" x14ac:dyDescent="0.35">
      <c r="A8" t="s">
        <v>129</v>
      </c>
      <c r="B8" s="4" t="s">
        <v>131</v>
      </c>
      <c r="C8" s="5">
        <v>28207</v>
      </c>
      <c r="D8" s="5">
        <v>28466</v>
      </c>
      <c r="E8" s="5">
        <f>C8+C10+C13+C20</f>
        <v>113106</v>
      </c>
      <c r="F8" s="5">
        <f>D8+D10+D13+D20</f>
        <v>123241</v>
      </c>
      <c r="G8">
        <f>F8-E8</f>
        <v>10135</v>
      </c>
      <c r="I8" s="28">
        <f>G8/E8</f>
        <v>8.9606210103796435E-2</v>
      </c>
    </row>
    <row r="9" spans="1:9" x14ac:dyDescent="0.35">
      <c r="A9" t="s">
        <v>365</v>
      </c>
      <c r="B9" s="4" t="s">
        <v>124</v>
      </c>
      <c r="C9" s="5">
        <v>53602</v>
      </c>
      <c r="D9" s="5">
        <v>60005</v>
      </c>
      <c r="E9" s="5">
        <f>C9+C25</f>
        <v>96413</v>
      </c>
      <c r="F9" s="5">
        <f>D9+D25</f>
        <v>104806</v>
      </c>
      <c r="G9">
        <f>F9-E9</f>
        <v>8393</v>
      </c>
      <c r="I9" s="28">
        <f>G9/E9</f>
        <v>8.7052575897441212E-2</v>
      </c>
    </row>
    <row r="10" spans="1:9" x14ac:dyDescent="0.35">
      <c r="A10" t="s">
        <v>129</v>
      </c>
      <c r="B10" s="4" t="s">
        <v>125</v>
      </c>
      <c r="C10" s="5">
        <v>41311</v>
      </c>
      <c r="D10" s="5">
        <v>48759</v>
      </c>
      <c r="E10" s="5"/>
      <c r="F10" s="5"/>
      <c r="G10">
        <f t="shared" si="0"/>
        <v>7448</v>
      </c>
      <c r="I10" s="28">
        <f t="shared" si="1"/>
        <v>0.18029096366585171</v>
      </c>
    </row>
    <row r="11" spans="1:9" x14ac:dyDescent="0.35">
      <c r="A11" t="s">
        <v>127</v>
      </c>
      <c r="B11" s="4" t="s">
        <v>127</v>
      </c>
      <c r="C11" s="5">
        <v>74900</v>
      </c>
      <c r="D11" s="5">
        <v>71434</v>
      </c>
      <c r="E11" s="5"/>
      <c r="F11" s="5"/>
      <c r="G11">
        <f t="shared" si="0"/>
        <v>-3466</v>
      </c>
      <c r="I11" s="28">
        <f t="shared" si="1"/>
        <v>-4.6275033377837116E-2</v>
      </c>
    </row>
    <row r="12" spans="1:9" x14ac:dyDescent="0.35">
      <c r="A12" t="s">
        <v>362</v>
      </c>
      <c r="B12" s="4" t="s">
        <v>128</v>
      </c>
      <c r="C12" s="5">
        <v>71257</v>
      </c>
      <c r="D12" s="5">
        <v>72598</v>
      </c>
      <c r="E12" s="5">
        <f>C12+C14</f>
        <v>102364</v>
      </c>
      <c r="F12" s="5">
        <f>D12+D14</f>
        <v>106345</v>
      </c>
      <c r="G12">
        <f>F12-E12</f>
        <v>3981</v>
      </c>
      <c r="I12" s="28">
        <f>G12/E12</f>
        <v>3.8890625610566214E-2</v>
      </c>
    </row>
    <row r="13" spans="1:9" x14ac:dyDescent="0.35">
      <c r="A13" t="s">
        <v>129</v>
      </c>
      <c r="B13" s="4" t="s">
        <v>129</v>
      </c>
      <c r="C13" s="5">
        <v>25068</v>
      </c>
      <c r="D13" s="5">
        <v>26339</v>
      </c>
      <c r="E13" s="5"/>
      <c r="F13" s="5"/>
      <c r="G13">
        <f t="shared" si="0"/>
        <v>1271</v>
      </c>
      <c r="I13" s="28">
        <f t="shared" si="1"/>
        <v>5.0702090314344979E-2</v>
      </c>
    </row>
    <row r="14" spans="1:9" x14ac:dyDescent="0.35">
      <c r="A14" t="s">
        <v>362</v>
      </c>
      <c r="B14" s="4" t="s">
        <v>130</v>
      </c>
      <c r="C14" s="5">
        <v>31107</v>
      </c>
      <c r="D14" s="5">
        <v>33747</v>
      </c>
      <c r="E14" s="5"/>
      <c r="F14" s="5"/>
      <c r="G14">
        <f t="shared" si="0"/>
        <v>2640</v>
      </c>
      <c r="I14" s="28">
        <f t="shared" si="1"/>
        <v>8.4868357604397718E-2</v>
      </c>
    </row>
    <row r="15" spans="1:9" x14ac:dyDescent="0.35">
      <c r="A15" t="s">
        <v>363</v>
      </c>
      <c r="B15" s="4" t="s">
        <v>132</v>
      </c>
      <c r="C15" s="5">
        <v>53895</v>
      </c>
      <c r="D15" s="5">
        <v>53999</v>
      </c>
      <c r="E15" s="5"/>
      <c r="F15" s="5"/>
      <c r="G15">
        <f t="shared" si="0"/>
        <v>104</v>
      </c>
      <c r="I15" s="28">
        <f t="shared" si="1"/>
        <v>1.9296780777437611E-3</v>
      </c>
    </row>
    <row r="16" spans="1:9" x14ac:dyDescent="0.35">
      <c r="A16" t="s">
        <v>133</v>
      </c>
      <c r="B16" s="4" t="s">
        <v>133</v>
      </c>
      <c r="C16" s="5">
        <v>60271</v>
      </c>
      <c r="D16" s="5">
        <v>69723</v>
      </c>
      <c r="E16" s="5"/>
      <c r="F16" s="5"/>
      <c r="G16">
        <f t="shared" si="0"/>
        <v>9452</v>
      </c>
      <c r="I16" s="28">
        <f t="shared" si="1"/>
        <v>0.15682500705148414</v>
      </c>
    </row>
    <row r="17" spans="1:9" x14ac:dyDescent="0.35">
      <c r="A17" t="s">
        <v>133</v>
      </c>
      <c r="B17" s="4" t="s">
        <v>136</v>
      </c>
      <c r="C17" s="5">
        <v>24552</v>
      </c>
      <c r="D17" s="5">
        <v>25470</v>
      </c>
      <c r="E17" s="5"/>
      <c r="F17" s="5"/>
      <c r="G17">
        <f t="shared" si="0"/>
        <v>918</v>
      </c>
      <c r="I17" s="28">
        <f t="shared" si="1"/>
        <v>3.7390029325513198E-2</v>
      </c>
    </row>
    <row r="18" spans="1:9" x14ac:dyDescent="0.35">
      <c r="A18" t="s">
        <v>364</v>
      </c>
      <c r="B18" s="4" t="s">
        <v>134</v>
      </c>
      <c r="C18" s="5">
        <v>58995</v>
      </c>
      <c r="D18" s="5">
        <v>59666</v>
      </c>
      <c r="E18" s="5"/>
      <c r="F18" s="5"/>
      <c r="G18">
        <f t="shared" si="0"/>
        <v>671</v>
      </c>
      <c r="I18" s="28">
        <f t="shared" si="1"/>
        <v>1.137384524112213E-2</v>
      </c>
    </row>
    <row r="19" spans="1:9" x14ac:dyDescent="0.35">
      <c r="A19" t="s">
        <v>363</v>
      </c>
      <c r="B19" s="4" t="s">
        <v>135</v>
      </c>
      <c r="C19" s="5">
        <v>45403</v>
      </c>
      <c r="D19" s="5">
        <v>50542</v>
      </c>
      <c r="E19" s="5"/>
      <c r="F19" s="5"/>
      <c r="G19">
        <f t="shared" si="0"/>
        <v>5139</v>
      </c>
      <c r="I19" s="28">
        <f t="shared" si="1"/>
        <v>0.11318635332467017</v>
      </c>
    </row>
    <row r="20" spans="1:9" x14ac:dyDescent="0.35">
      <c r="A20" t="s">
        <v>129</v>
      </c>
      <c r="B20" s="4" t="s">
        <v>138</v>
      </c>
      <c r="C20" s="5">
        <v>18520</v>
      </c>
      <c r="D20" s="5">
        <v>19677</v>
      </c>
      <c r="E20" s="5"/>
      <c r="F20" s="5"/>
      <c r="G20">
        <f t="shared" si="0"/>
        <v>1157</v>
      </c>
      <c r="I20" s="28">
        <f t="shared" si="1"/>
        <v>6.2473002159827214E-2</v>
      </c>
    </row>
    <row r="21" spans="1:9" x14ac:dyDescent="0.35">
      <c r="A21" t="s">
        <v>143</v>
      </c>
      <c r="B21" s="4" t="s">
        <v>140</v>
      </c>
      <c r="C21" s="5">
        <v>26101</v>
      </c>
      <c r="D21" s="5">
        <v>25534</v>
      </c>
      <c r="E21" s="5"/>
      <c r="F21" s="5"/>
      <c r="G21">
        <f t="shared" si="0"/>
        <v>-567</v>
      </c>
      <c r="I21" s="28">
        <f t="shared" si="1"/>
        <v>-2.1723305620474313E-2</v>
      </c>
    </row>
    <row r="22" spans="1:9" x14ac:dyDescent="0.35">
      <c r="A22" t="s">
        <v>147</v>
      </c>
      <c r="B22" s="4" t="s">
        <v>146</v>
      </c>
      <c r="C22" s="5">
        <v>45903</v>
      </c>
      <c r="D22" s="5">
        <v>48709</v>
      </c>
      <c r="E22" s="5"/>
      <c r="F22" s="5"/>
      <c r="G22">
        <f t="shared" si="0"/>
        <v>2806</v>
      </c>
      <c r="I22" s="28">
        <f t="shared" si="1"/>
        <v>6.1128902250397577E-2</v>
      </c>
    </row>
    <row r="23" spans="1:9" x14ac:dyDescent="0.35">
      <c r="A23" t="s">
        <v>141</v>
      </c>
      <c r="B23" s="4" t="s">
        <v>141</v>
      </c>
      <c r="C23" s="5">
        <v>42396</v>
      </c>
      <c r="D23" s="5">
        <v>43425</v>
      </c>
      <c r="E23" s="5"/>
      <c r="F23" s="5"/>
      <c r="G23">
        <f t="shared" si="0"/>
        <v>1029</v>
      </c>
      <c r="I23" s="28">
        <f t="shared" si="1"/>
        <v>2.4271157656382679E-2</v>
      </c>
    </row>
    <row r="24" spans="1:9" x14ac:dyDescent="0.35">
      <c r="A24" t="s">
        <v>147</v>
      </c>
      <c r="B24" s="4" t="s">
        <v>147</v>
      </c>
      <c r="C24" s="5">
        <v>47367</v>
      </c>
      <c r="D24" s="5">
        <v>49852</v>
      </c>
      <c r="E24" s="5"/>
      <c r="F24" s="5"/>
      <c r="G24">
        <f t="shared" si="0"/>
        <v>2485</v>
      </c>
      <c r="I24" s="28">
        <f t="shared" si="1"/>
        <v>5.246268499166086E-2</v>
      </c>
    </row>
    <row r="25" spans="1:9" x14ac:dyDescent="0.35">
      <c r="A25" t="s">
        <v>365</v>
      </c>
      <c r="B25" s="4" t="s">
        <v>139</v>
      </c>
      <c r="C25" s="5">
        <v>42811</v>
      </c>
      <c r="D25" s="5">
        <v>44801</v>
      </c>
      <c r="E25" s="5"/>
      <c r="F25" s="5"/>
      <c r="G25">
        <f t="shared" si="0"/>
        <v>1990</v>
      </c>
      <c r="I25" s="28">
        <f t="shared" si="1"/>
        <v>4.6483380439606641E-2</v>
      </c>
    </row>
    <row r="26" spans="1:9" x14ac:dyDescent="0.35">
      <c r="A26" t="s">
        <v>366</v>
      </c>
      <c r="B26" s="4" t="s">
        <v>153</v>
      </c>
      <c r="C26" s="5">
        <v>41958</v>
      </c>
      <c r="D26" s="5">
        <v>42740</v>
      </c>
      <c r="E26" s="5"/>
      <c r="F26" s="5"/>
      <c r="G26">
        <f t="shared" si="0"/>
        <v>782</v>
      </c>
      <c r="I26" s="28">
        <f t="shared" si="1"/>
        <v>1.8637685304351972E-2</v>
      </c>
    </row>
    <row r="27" spans="1:9" x14ac:dyDescent="0.35">
      <c r="A27" t="s">
        <v>366</v>
      </c>
      <c r="B27" s="4" t="s">
        <v>150</v>
      </c>
      <c r="C27" s="5">
        <v>31690</v>
      </c>
      <c r="D27" s="5">
        <v>31345</v>
      </c>
      <c r="E27" s="5"/>
      <c r="F27" s="5"/>
      <c r="G27">
        <f t="shared" si="0"/>
        <v>-345</v>
      </c>
      <c r="I27" s="28">
        <f t="shared" si="1"/>
        <v>-1.0886715052066898E-2</v>
      </c>
    </row>
    <row r="28" spans="1:9" x14ac:dyDescent="0.35">
      <c r="A28" t="s">
        <v>142</v>
      </c>
      <c r="B28" s="4" t="s">
        <v>142</v>
      </c>
      <c r="C28" s="5">
        <v>64160</v>
      </c>
      <c r="D28" s="5">
        <v>65288</v>
      </c>
      <c r="E28" s="5"/>
      <c r="F28" s="5"/>
      <c r="G28">
        <f t="shared" si="0"/>
        <v>1128</v>
      </c>
      <c r="I28" s="28">
        <f t="shared" si="1"/>
        <v>1.7581047381546134E-2</v>
      </c>
    </row>
    <row r="29" spans="1:9" x14ac:dyDescent="0.35">
      <c r="A29" t="s">
        <v>143</v>
      </c>
      <c r="B29" s="4" t="s">
        <v>143</v>
      </c>
      <c r="C29" s="5">
        <v>55550</v>
      </c>
      <c r="D29" s="5">
        <v>60985</v>
      </c>
      <c r="E29" s="5"/>
      <c r="F29" s="5"/>
      <c r="G29">
        <f t="shared" si="0"/>
        <v>5435</v>
      </c>
      <c r="I29" s="28">
        <f t="shared" si="1"/>
        <v>9.7839783978397835E-2</v>
      </c>
    </row>
    <row r="30" spans="1:9" x14ac:dyDescent="0.35">
      <c r="A30" t="s">
        <v>141</v>
      </c>
      <c r="B30" s="4" t="s">
        <v>144</v>
      </c>
      <c r="C30" s="5">
        <v>25133</v>
      </c>
      <c r="D30" s="5">
        <v>24447</v>
      </c>
      <c r="E30" s="5"/>
      <c r="F30" s="5"/>
      <c r="G30">
        <f t="shared" si="0"/>
        <v>-686</v>
      </c>
      <c r="I30" s="28">
        <f t="shared" si="1"/>
        <v>-2.7294791708112838E-2</v>
      </c>
    </row>
    <row r="31" spans="1:9" x14ac:dyDescent="0.35">
      <c r="A31" t="s">
        <v>145</v>
      </c>
      <c r="B31" s="4" t="s">
        <v>145</v>
      </c>
      <c r="C31" s="5">
        <v>57253</v>
      </c>
      <c r="D31" s="5">
        <v>55904</v>
      </c>
      <c r="E31" s="5"/>
      <c r="F31" s="5"/>
      <c r="G31">
        <f t="shared" si="0"/>
        <v>-1349</v>
      </c>
      <c r="I31" s="28">
        <f t="shared" si="1"/>
        <v>-2.3562084082930153E-2</v>
      </c>
    </row>
    <row r="32" spans="1:9" x14ac:dyDescent="0.35">
      <c r="A32" t="s">
        <v>167</v>
      </c>
      <c r="B32" s="4" t="s">
        <v>167</v>
      </c>
      <c r="C32" s="5">
        <v>38799</v>
      </c>
      <c r="D32" s="5">
        <v>35656</v>
      </c>
      <c r="E32" s="5"/>
      <c r="F32" s="5"/>
      <c r="G32">
        <f t="shared" si="0"/>
        <v>-3143</v>
      </c>
      <c r="I32" s="28">
        <f t="shared" si="1"/>
        <v>-8.1007242454702436E-2</v>
      </c>
    </row>
    <row r="33" spans="1:9" x14ac:dyDescent="0.35">
      <c r="B33" s="4" t="s">
        <v>223</v>
      </c>
      <c r="C33" s="5">
        <v>0</v>
      </c>
      <c r="D33" s="5">
        <v>0</v>
      </c>
      <c r="E33" s="5"/>
      <c r="F33" s="5"/>
      <c r="G33">
        <f t="shared" si="0"/>
        <v>0</v>
      </c>
    </row>
    <row r="34" spans="1:9" x14ac:dyDescent="0.35">
      <c r="A34" t="s">
        <v>367</v>
      </c>
      <c r="B34" s="4" t="s">
        <v>148</v>
      </c>
      <c r="C34" s="5">
        <v>54037</v>
      </c>
      <c r="D34" s="5">
        <v>57803</v>
      </c>
      <c r="E34" s="5"/>
      <c r="F34" s="5"/>
      <c r="G34">
        <f t="shared" si="0"/>
        <v>3766</v>
      </c>
      <c r="I34" s="28">
        <f t="shared" si="1"/>
        <v>6.9692988137757456E-2</v>
      </c>
    </row>
    <row r="35" spans="1:9" x14ac:dyDescent="0.35">
      <c r="A35" t="s">
        <v>149</v>
      </c>
      <c r="B35" s="4" t="s">
        <v>149</v>
      </c>
      <c r="C35" s="5">
        <v>63684</v>
      </c>
      <c r="D35" s="5">
        <v>65671</v>
      </c>
      <c r="E35" s="5"/>
      <c r="F35" s="5"/>
      <c r="G35">
        <f t="shared" si="0"/>
        <v>1987</v>
      </c>
      <c r="I35" s="28">
        <f t="shared" si="1"/>
        <v>3.1200929589849883E-2</v>
      </c>
    </row>
    <row r="36" spans="1:9" x14ac:dyDescent="0.35">
      <c r="A36" t="s">
        <v>162</v>
      </c>
      <c r="B36" s="4" t="s">
        <v>162</v>
      </c>
      <c r="C36" s="5">
        <v>29850</v>
      </c>
      <c r="D36" s="5">
        <v>31705</v>
      </c>
      <c r="E36" s="5"/>
      <c r="F36" s="5"/>
      <c r="G36">
        <f t="shared" si="0"/>
        <v>1855</v>
      </c>
      <c r="I36" s="28">
        <f t="shared" si="1"/>
        <v>6.2144053601340031E-2</v>
      </c>
    </row>
    <row r="37" spans="1:9" x14ac:dyDescent="0.35">
      <c r="A37" t="s">
        <v>151</v>
      </c>
      <c r="B37" s="4" t="s">
        <v>151</v>
      </c>
      <c r="C37" s="5">
        <v>92142</v>
      </c>
      <c r="D37" s="5">
        <v>95201</v>
      </c>
      <c r="E37" s="5"/>
      <c r="F37" s="5"/>
      <c r="G37">
        <f t="shared" si="0"/>
        <v>3059</v>
      </c>
      <c r="I37" s="28">
        <f t="shared" si="1"/>
        <v>3.319875843806299E-2</v>
      </c>
    </row>
    <row r="38" spans="1:9" x14ac:dyDescent="0.35">
      <c r="A38" t="s">
        <v>367</v>
      </c>
      <c r="B38" s="4" t="s">
        <v>152</v>
      </c>
      <c r="C38" s="5">
        <v>24960</v>
      </c>
      <c r="D38" s="5">
        <v>26629</v>
      </c>
      <c r="E38" s="5"/>
      <c r="F38" s="5"/>
      <c r="G38">
        <f t="shared" si="0"/>
        <v>1669</v>
      </c>
      <c r="I38" s="28">
        <f t="shared" si="1"/>
        <v>6.6866987179487178E-2</v>
      </c>
    </row>
    <row r="39" spans="1:9" x14ac:dyDescent="0.35">
      <c r="A39" t="s">
        <v>368</v>
      </c>
      <c r="B39" s="4" t="s">
        <v>156</v>
      </c>
      <c r="C39" s="5">
        <v>37989</v>
      </c>
      <c r="D39" s="5">
        <v>38684</v>
      </c>
      <c r="E39" s="5"/>
      <c r="F39" s="5"/>
      <c r="G39">
        <f t="shared" si="0"/>
        <v>695</v>
      </c>
      <c r="I39" s="28">
        <f t="shared" si="1"/>
        <v>1.8294769538550634E-2</v>
      </c>
    </row>
    <row r="40" spans="1:9" x14ac:dyDescent="0.35">
      <c r="A40" t="s">
        <v>369</v>
      </c>
      <c r="B40" s="4" t="s">
        <v>165</v>
      </c>
      <c r="C40" s="5">
        <v>59187</v>
      </c>
      <c r="D40" s="5">
        <v>55748</v>
      </c>
      <c r="E40" s="5"/>
      <c r="F40" s="5"/>
      <c r="G40">
        <f t="shared" si="0"/>
        <v>-3439</v>
      </c>
      <c r="I40" s="28">
        <f t="shared" si="1"/>
        <v>-5.8103975535168197E-2</v>
      </c>
    </row>
    <row r="41" spans="1:9" x14ac:dyDescent="0.35">
      <c r="A41" t="s">
        <v>155</v>
      </c>
      <c r="B41" s="4" t="s">
        <v>155</v>
      </c>
      <c r="C41" s="5">
        <v>74960</v>
      </c>
      <c r="D41" s="5">
        <v>77965</v>
      </c>
      <c r="E41" s="5"/>
      <c r="F41" s="5"/>
      <c r="G41">
        <f t="shared" si="0"/>
        <v>3005</v>
      </c>
      <c r="I41" s="28">
        <f t="shared" si="1"/>
        <v>4.0088046958377803E-2</v>
      </c>
    </row>
    <row r="42" spans="1:9" x14ac:dyDescent="0.35">
      <c r="A42" t="s">
        <v>157</v>
      </c>
      <c r="B42" s="4" t="s">
        <v>157</v>
      </c>
      <c r="C42" s="5">
        <v>47965</v>
      </c>
      <c r="D42" s="5">
        <v>45459</v>
      </c>
      <c r="E42" s="5"/>
      <c r="F42" s="5"/>
      <c r="G42">
        <f t="shared" si="0"/>
        <v>-2506</v>
      </c>
      <c r="I42" s="28">
        <f t="shared" si="1"/>
        <v>-5.2246429688314396E-2</v>
      </c>
    </row>
    <row r="43" spans="1:9" x14ac:dyDescent="0.35">
      <c r="A43" t="s">
        <v>370</v>
      </c>
      <c r="B43" s="4" t="s">
        <v>163</v>
      </c>
      <c r="C43" s="5">
        <v>38845</v>
      </c>
      <c r="D43" s="5">
        <v>34978</v>
      </c>
      <c r="E43" s="5"/>
      <c r="F43" s="5"/>
      <c r="G43">
        <f t="shared" si="0"/>
        <v>-3867</v>
      </c>
      <c r="I43" s="28">
        <f t="shared" si="1"/>
        <v>-9.95494915690565E-2</v>
      </c>
    </row>
    <row r="44" spans="1:9" x14ac:dyDescent="0.35">
      <c r="A44" t="s">
        <v>164</v>
      </c>
      <c r="B44" s="4" t="s">
        <v>164</v>
      </c>
      <c r="C44" s="5">
        <v>85189</v>
      </c>
      <c r="D44" s="5">
        <v>86157</v>
      </c>
      <c r="E44" s="5"/>
      <c r="F44" s="5"/>
      <c r="G44">
        <f t="shared" si="0"/>
        <v>968</v>
      </c>
      <c r="I44" s="28">
        <f t="shared" si="1"/>
        <v>1.1362969397457418E-2</v>
      </c>
    </row>
    <row r="45" spans="1:9" x14ac:dyDescent="0.35">
      <c r="A45" t="s">
        <v>154</v>
      </c>
      <c r="B45" s="4" t="s">
        <v>154</v>
      </c>
      <c r="C45" s="5">
        <v>32077</v>
      </c>
      <c r="D45" s="5">
        <v>29595</v>
      </c>
      <c r="E45" s="5"/>
      <c r="F45" s="5"/>
      <c r="G45">
        <f t="shared" si="0"/>
        <v>-2482</v>
      </c>
      <c r="I45" s="28">
        <f t="shared" si="1"/>
        <v>-7.7376313246251202E-2</v>
      </c>
    </row>
    <row r="46" spans="1:9" x14ac:dyDescent="0.35">
      <c r="A46" t="s">
        <v>371</v>
      </c>
      <c r="B46" s="4" t="s">
        <v>158</v>
      </c>
      <c r="C46" s="5">
        <v>36535</v>
      </c>
      <c r="D46" s="5">
        <v>38046</v>
      </c>
      <c r="E46" s="5"/>
      <c r="F46" s="5"/>
      <c r="G46">
        <f t="shared" si="0"/>
        <v>1511</v>
      </c>
      <c r="I46" s="28">
        <f t="shared" si="1"/>
        <v>4.1357602299165186E-2</v>
      </c>
    </row>
    <row r="47" spans="1:9" x14ac:dyDescent="0.35">
      <c r="A47" t="s">
        <v>159</v>
      </c>
      <c r="B47" s="4" t="s">
        <v>159</v>
      </c>
      <c r="C47" s="5">
        <v>80735</v>
      </c>
      <c r="D47" s="5">
        <v>81374</v>
      </c>
      <c r="E47" s="5"/>
      <c r="F47" s="5"/>
      <c r="G47">
        <f t="shared" si="0"/>
        <v>639</v>
      </c>
      <c r="I47" s="28">
        <f t="shared" si="1"/>
        <v>7.9147829318139597E-3</v>
      </c>
    </row>
    <row r="48" spans="1:9" x14ac:dyDescent="0.35">
      <c r="A48" t="s">
        <v>371</v>
      </c>
      <c r="B48" s="4" t="s">
        <v>161</v>
      </c>
      <c r="C48" s="5">
        <v>30744</v>
      </c>
      <c r="D48" s="5">
        <v>31283</v>
      </c>
      <c r="E48" s="5"/>
      <c r="F48" s="5"/>
      <c r="G48">
        <f t="shared" si="0"/>
        <v>539</v>
      </c>
      <c r="I48" s="28">
        <f t="shared" si="1"/>
        <v>1.7531876138433516E-2</v>
      </c>
    </row>
    <row r="49" spans="1:9" x14ac:dyDescent="0.35">
      <c r="A49" t="s">
        <v>368</v>
      </c>
      <c r="B49" s="4" t="s">
        <v>160</v>
      </c>
      <c r="C49" s="5">
        <v>23711</v>
      </c>
      <c r="D49" s="5">
        <v>23825</v>
      </c>
      <c r="E49" s="5"/>
      <c r="F49" s="5"/>
      <c r="G49">
        <f t="shared" si="0"/>
        <v>114</v>
      </c>
      <c r="I49" s="28">
        <f t="shared" si="1"/>
        <v>4.8078950697988277E-3</v>
      </c>
    </row>
    <row r="50" spans="1:9" x14ac:dyDescent="0.35">
      <c r="A50" t="s">
        <v>372</v>
      </c>
      <c r="B50" s="4" t="s">
        <v>166</v>
      </c>
      <c r="C50" s="5">
        <v>45014</v>
      </c>
      <c r="D50" s="5">
        <v>43343</v>
      </c>
      <c r="E50" s="5"/>
      <c r="F50" s="5"/>
      <c r="G50">
        <f t="shared" si="0"/>
        <v>-1671</v>
      </c>
      <c r="I50" s="28">
        <f t="shared" si="1"/>
        <v>-3.7121784333762828E-2</v>
      </c>
    </row>
    <row r="51" spans="1:9" x14ac:dyDescent="0.35">
      <c r="A51" t="s">
        <v>169</v>
      </c>
      <c r="B51" s="4" t="s">
        <v>169</v>
      </c>
      <c r="C51" s="5">
        <v>40407</v>
      </c>
      <c r="D51" s="5">
        <v>39062</v>
      </c>
      <c r="E51" s="5"/>
      <c r="F51" s="5"/>
      <c r="G51">
        <f t="shared" si="0"/>
        <v>-1345</v>
      </c>
      <c r="I51" s="28">
        <f t="shared" si="1"/>
        <v>-3.3286311777662288E-2</v>
      </c>
    </row>
    <row r="52" spans="1:9" x14ac:dyDescent="0.35">
      <c r="A52" t="s">
        <v>373</v>
      </c>
      <c r="B52" s="4" t="s">
        <v>170</v>
      </c>
      <c r="C52" s="5">
        <v>52376</v>
      </c>
      <c r="D52" s="5">
        <v>52831</v>
      </c>
      <c r="E52" s="5"/>
      <c r="F52" s="5"/>
      <c r="G52">
        <f t="shared" si="0"/>
        <v>455</v>
      </c>
      <c r="I52" s="28">
        <f t="shared" si="1"/>
        <v>8.6871849702153652E-3</v>
      </c>
    </row>
    <row r="53" spans="1:9" x14ac:dyDescent="0.35">
      <c r="A53" t="s">
        <v>374</v>
      </c>
      <c r="B53" s="4" t="s">
        <v>171</v>
      </c>
      <c r="C53" s="5">
        <v>23961</v>
      </c>
      <c r="D53" s="5">
        <v>23717</v>
      </c>
      <c r="E53" s="5"/>
      <c r="F53" s="5"/>
      <c r="G53">
        <f t="shared" si="0"/>
        <v>-244</v>
      </c>
      <c r="I53" s="28">
        <f t="shared" si="1"/>
        <v>-1.0183214390050498E-2</v>
      </c>
    </row>
    <row r="54" spans="1:9" x14ac:dyDescent="0.35">
      <c r="A54" t="s">
        <v>375</v>
      </c>
      <c r="B54" s="4" t="s">
        <v>176</v>
      </c>
      <c r="C54" s="5">
        <v>11901</v>
      </c>
      <c r="D54" s="5">
        <v>10978</v>
      </c>
      <c r="E54" s="5"/>
      <c r="F54" s="5"/>
      <c r="G54">
        <f t="shared" si="0"/>
        <v>-923</v>
      </c>
      <c r="I54" s="28">
        <f t="shared" si="1"/>
        <v>-7.7556507856482645E-2</v>
      </c>
    </row>
    <row r="55" spans="1:9" x14ac:dyDescent="0.35">
      <c r="A55" t="s">
        <v>168</v>
      </c>
      <c r="B55" s="4" t="s">
        <v>168</v>
      </c>
      <c r="C55" s="5">
        <v>40575</v>
      </c>
      <c r="D55" s="5">
        <v>42710</v>
      </c>
      <c r="E55" s="5"/>
      <c r="F55" s="5"/>
      <c r="G55">
        <f t="shared" si="0"/>
        <v>2135</v>
      </c>
      <c r="I55" s="28">
        <f t="shared" si="1"/>
        <v>5.261860751694393E-2</v>
      </c>
    </row>
    <row r="56" spans="1:9" x14ac:dyDescent="0.35">
      <c r="A56" t="s">
        <v>376</v>
      </c>
      <c r="B56" s="4" t="s">
        <v>224</v>
      </c>
      <c r="C56" s="5">
        <v>29307</v>
      </c>
      <c r="D56" s="5">
        <v>28405</v>
      </c>
      <c r="E56" s="5"/>
      <c r="F56" s="5"/>
      <c r="G56">
        <f t="shared" si="0"/>
        <v>-902</v>
      </c>
      <c r="I56" s="28">
        <f t="shared" si="1"/>
        <v>-3.0777629917767085E-2</v>
      </c>
    </row>
    <row r="57" spans="1:9" x14ac:dyDescent="0.35">
      <c r="A57" t="s">
        <v>374</v>
      </c>
      <c r="B57" s="4" t="s">
        <v>172</v>
      </c>
      <c r="C57" s="5">
        <v>32386</v>
      </c>
      <c r="D57" s="5">
        <v>32373</v>
      </c>
      <c r="E57" s="5"/>
      <c r="F57" s="5"/>
      <c r="G57">
        <f t="shared" si="0"/>
        <v>-13</v>
      </c>
      <c r="I57" s="28">
        <f t="shared" si="1"/>
        <v>-4.0140801580930034E-4</v>
      </c>
    </row>
    <row r="58" spans="1:9" x14ac:dyDescent="0.35">
      <c r="A58" t="s">
        <v>377</v>
      </c>
      <c r="B58" s="4" t="s">
        <v>173</v>
      </c>
      <c r="C58" s="5">
        <v>211994</v>
      </c>
      <c r="D58" s="5">
        <v>220426</v>
      </c>
      <c r="E58" s="5"/>
      <c r="F58" s="5"/>
      <c r="G58">
        <f t="shared" si="0"/>
        <v>8432</v>
      </c>
      <c r="I58" s="28">
        <f t="shared" si="1"/>
        <v>3.9774710605017125E-2</v>
      </c>
    </row>
    <row r="59" spans="1:9" x14ac:dyDescent="0.35">
      <c r="A59" t="s">
        <v>174</v>
      </c>
      <c r="B59" s="4" t="s">
        <v>174</v>
      </c>
      <c r="C59" s="5">
        <v>60354</v>
      </c>
      <c r="D59" s="5">
        <v>63081</v>
      </c>
      <c r="E59" s="5"/>
      <c r="F59" s="5"/>
      <c r="G59">
        <f t="shared" si="0"/>
        <v>2727</v>
      </c>
      <c r="I59" s="28">
        <f t="shared" si="1"/>
        <v>4.5183417834774829E-2</v>
      </c>
    </row>
    <row r="60" spans="1:9" x14ac:dyDescent="0.35">
      <c r="A60" t="s">
        <v>375</v>
      </c>
      <c r="B60" s="4" t="s">
        <v>177</v>
      </c>
      <c r="C60" s="5">
        <v>5854</v>
      </c>
      <c r="D60" s="5">
        <v>5523</v>
      </c>
      <c r="E60" s="5"/>
      <c r="F60" s="5"/>
      <c r="G60">
        <f t="shared" si="0"/>
        <v>-331</v>
      </c>
      <c r="I60" s="28">
        <f t="shared" si="1"/>
        <v>-5.6542535018790571E-2</v>
      </c>
    </row>
    <row r="61" spans="1:9" x14ac:dyDescent="0.35">
      <c r="A61" t="s">
        <v>378</v>
      </c>
      <c r="B61" s="4" t="s">
        <v>179</v>
      </c>
      <c r="C61" s="5">
        <v>27248</v>
      </c>
      <c r="D61" s="5">
        <v>27487</v>
      </c>
      <c r="E61" s="5"/>
      <c r="F61" s="5"/>
      <c r="G61">
        <f t="shared" si="0"/>
        <v>239</v>
      </c>
      <c r="I61" s="28">
        <f t="shared" si="1"/>
        <v>8.7712859659424547E-3</v>
      </c>
    </row>
    <row r="62" spans="1:9" x14ac:dyDescent="0.35">
      <c r="A62" t="s">
        <v>380</v>
      </c>
      <c r="B62" s="4" t="s">
        <v>182</v>
      </c>
      <c r="C62" s="5">
        <v>115126</v>
      </c>
      <c r="D62" s="5">
        <v>111372</v>
      </c>
      <c r="E62" s="5"/>
      <c r="F62" s="5"/>
      <c r="G62">
        <f t="shared" si="0"/>
        <v>-3754</v>
      </c>
      <c r="I62" s="28">
        <f t="shared" si="1"/>
        <v>-3.2607751507044452E-2</v>
      </c>
    </row>
    <row r="63" spans="1:9" x14ac:dyDescent="0.35">
      <c r="A63" t="s">
        <v>379</v>
      </c>
      <c r="B63" s="4" t="s">
        <v>183</v>
      </c>
      <c r="C63" s="5">
        <v>3233</v>
      </c>
      <c r="D63" s="5">
        <v>2735</v>
      </c>
      <c r="E63" s="5"/>
      <c r="F63" s="5"/>
      <c r="G63">
        <f t="shared" si="0"/>
        <v>-498</v>
      </c>
      <c r="I63" s="28">
        <f t="shared" si="1"/>
        <v>-0.15403649860810392</v>
      </c>
    </row>
    <row r="64" spans="1:9" x14ac:dyDescent="0.35">
      <c r="A64" t="s">
        <v>187</v>
      </c>
      <c r="B64" s="4" t="s">
        <v>187</v>
      </c>
      <c r="C64" s="5">
        <v>52875</v>
      </c>
      <c r="D64" s="5">
        <v>54496</v>
      </c>
      <c r="E64" s="5"/>
      <c r="F64" s="5"/>
      <c r="G64">
        <f t="shared" si="0"/>
        <v>1621</v>
      </c>
      <c r="I64" s="28">
        <f t="shared" si="1"/>
        <v>3.0657210401891254E-2</v>
      </c>
    </row>
    <row r="65" spans="1:9" x14ac:dyDescent="0.35">
      <c r="A65" t="s">
        <v>178</v>
      </c>
      <c r="B65" s="4" t="s">
        <v>178</v>
      </c>
      <c r="C65" s="5">
        <v>55244</v>
      </c>
      <c r="D65" s="5">
        <v>52891</v>
      </c>
      <c r="E65" s="5"/>
      <c r="F65" s="5"/>
      <c r="G65">
        <f t="shared" si="0"/>
        <v>-2353</v>
      </c>
      <c r="I65" s="28">
        <f t="shared" si="1"/>
        <v>-4.2592860763159802E-2</v>
      </c>
    </row>
    <row r="66" spans="1:9" x14ac:dyDescent="0.35">
      <c r="A66" t="s">
        <v>189</v>
      </c>
      <c r="B66" s="4" t="s">
        <v>189</v>
      </c>
      <c r="C66" s="5">
        <v>96361</v>
      </c>
      <c r="D66" s="5">
        <v>99403</v>
      </c>
      <c r="E66" s="5"/>
      <c r="F66" s="5"/>
      <c r="G66">
        <f t="shared" si="0"/>
        <v>3042</v>
      </c>
      <c r="I66" s="28">
        <f t="shared" si="1"/>
        <v>3.156878820269611E-2</v>
      </c>
    </row>
    <row r="67" spans="1:9" x14ac:dyDescent="0.35">
      <c r="A67" t="s">
        <v>180</v>
      </c>
      <c r="B67" s="4" t="s">
        <v>180</v>
      </c>
      <c r="C67" s="5">
        <v>73966</v>
      </c>
      <c r="D67" s="5">
        <v>70744</v>
      </c>
      <c r="E67" s="5"/>
      <c r="F67" s="5"/>
      <c r="G67">
        <f t="shared" si="0"/>
        <v>-3222</v>
      </c>
      <c r="I67" s="28">
        <f t="shared" si="1"/>
        <v>-4.3560554849525458E-2</v>
      </c>
    </row>
    <row r="68" spans="1:9" x14ac:dyDescent="0.35">
      <c r="A68" t="s">
        <v>181</v>
      </c>
      <c r="B68" s="4" t="s">
        <v>181</v>
      </c>
      <c r="C68" s="5">
        <v>36259</v>
      </c>
      <c r="D68" s="5">
        <v>33788</v>
      </c>
      <c r="E68" s="5"/>
      <c r="F68" s="5"/>
      <c r="G68">
        <f t="shared" si="0"/>
        <v>-2471</v>
      </c>
      <c r="I68" s="28">
        <f t="shared" si="1"/>
        <v>-6.8148597589563972E-2</v>
      </c>
    </row>
    <row r="69" spans="1:9" x14ac:dyDescent="0.35">
      <c r="A69" t="s">
        <v>184</v>
      </c>
      <c r="B69" s="4" t="s">
        <v>184</v>
      </c>
      <c r="C69" s="5">
        <v>49326</v>
      </c>
      <c r="D69" s="5">
        <v>47349</v>
      </c>
      <c r="E69" s="5"/>
      <c r="F69" s="5"/>
      <c r="G69">
        <f t="shared" ref="G69:G102" si="2">D69-C69</f>
        <v>-1977</v>
      </c>
      <c r="I69" s="28">
        <f t="shared" ref="I69:I102" si="3">G69/C69</f>
        <v>-4.0080282204111424E-2</v>
      </c>
    </row>
    <row r="70" spans="1:9" x14ac:dyDescent="0.35">
      <c r="A70" t="s">
        <v>381</v>
      </c>
      <c r="B70" s="4" t="s">
        <v>185</v>
      </c>
      <c r="C70" s="5">
        <v>42630</v>
      </c>
      <c r="D70" s="5">
        <v>41305</v>
      </c>
      <c r="E70" s="5"/>
      <c r="F70" s="5"/>
      <c r="G70">
        <f t="shared" si="2"/>
        <v>-1325</v>
      </c>
      <c r="I70" s="28">
        <f t="shared" si="3"/>
        <v>-3.1081398076471967E-2</v>
      </c>
    </row>
    <row r="71" spans="1:9" x14ac:dyDescent="0.35">
      <c r="A71" t="s">
        <v>382</v>
      </c>
      <c r="B71" s="4" t="s">
        <v>190</v>
      </c>
      <c r="C71" s="5">
        <v>123520</v>
      </c>
      <c r="D71" s="5">
        <v>132968</v>
      </c>
      <c r="E71" s="5"/>
      <c r="F71" s="5"/>
      <c r="G71">
        <f t="shared" si="2"/>
        <v>9448</v>
      </c>
      <c r="I71" s="28">
        <f t="shared" si="3"/>
        <v>7.6489637305699479E-2</v>
      </c>
    </row>
    <row r="72" spans="1:9" x14ac:dyDescent="0.35">
      <c r="A72" t="s">
        <v>186</v>
      </c>
      <c r="B72" s="4" t="s">
        <v>186</v>
      </c>
      <c r="C72" s="5">
        <v>58494</v>
      </c>
      <c r="D72" s="5">
        <v>55720</v>
      </c>
      <c r="E72" s="5"/>
      <c r="F72" s="5"/>
      <c r="G72">
        <f t="shared" si="2"/>
        <v>-2774</v>
      </c>
      <c r="I72" s="28">
        <f t="shared" si="3"/>
        <v>-4.7423667384689026E-2</v>
      </c>
    </row>
    <row r="73" spans="1:9" x14ac:dyDescent="0.35">
      <c r="A73" t="s">
        <v>197</v>
      </c>
      <c r="B73" s="4" t="s">
        <v>197</v>
      </c>
      <c r="C73" s="5">
        <v>49557</v>
      </c>
      <c r="D73" s="5">
        <v>52390</v>
      </c>
      <c r="E73" s="5"/>
      <c r="F73" s="5"/>
      <c r="G73">
        <f t="shared" si="2"/>
        <v>2833</v>
      </c>
      <c r="I73" s="28">
        <f t="shared" si="3"/>
        <v>5.7166495147002443E-2</v>
      </c>
    </row>
    <row r="74" spans="1:9" x14ac:dyDescent="0.35">
      <c r="A74" t="s">
        <v>206</v>
      </c>
      <c r="B74" s="4" t="s">
        <v>206</v>
      </c>
      <c r="C74" s="5">
        <v>48467</v>
      </c>
      <c r="D74" s="5">
        <v>52323</v>
      </c>
      <c r="E74" s="5"/>
      <c r="F74" s="5"/>
      <c r="G74">
        <f t="shared" si="2"/>
        <v>3856</v>
      </c>
      <c r="I74" s="28">
        <f t="shared" si="3"/>
        <v>7.9559287762807684E-2</v>
      </c>
    </row>
    <row r="75" spans="1:9" x14ac:dyDescent="0.35">
      <c r="A75" t="s">
        <v>188</v>
      </c>
      <c r="B75" s="4" t="s">
        <v>188</v>
      </c>
      <c r="C75" s="5">
        <v>99316</v>
      </c>
      <c r="D75" s="5">
        <v>114625</v>
      </c>
      <c r="E75" s="5"/>
      <c r="F75" s="5"/>
      <c r="G75">
        <f t="shared" si="2"/>
        <v>15309</v>
      </c>
      <c r="I75" s="28">
        <f t="shared" si="3"/>
        <v>0.1541443473357767</v>
      </c>
    </row>
    <row r="76" spans="1:9" x14ac:dyDescent="0.35">
      <c r="A76" t="s">
        <v>196</v>
      </c>
      <c r="B76" s="4" t="s">
        <v>196</v>
      </c>
      <c r="C76" s="5">
        <v>36616</v>
      </c>
      <c r="D76" s="5">
        <v>36033</v>
      </c>
      <c r="E76" s="5"/>
      <c r="F76" s="5"/>
      <c r="G76">
        <f t="shared" si="2"/>
        <v>-583</v>
      </c>
      <c r="I76" s="28">
        <f t="shared" si="3"/>
        <v>-1.5922001310902337E-2</v>
      </c>
    </row>
    <row r="77" spans="1:9" x14ac:dyDescent="0.35">
      <c r="A77" t="s">
        <v>198</v>
      </c>
      <c r="B77" s="4" t="s">
        <v>198</v>
      </c>
      <c r="C77" s="5">
        <v>24305</v>
      </c>
      <c r="D77" s="5">
        <v>27117</v>
      </c>
      <c r="E77" s="5"/>
      <c r="F77" s="5"/>
      <c r="G77">
        <f t="shared" si="2"/>
        <v>2812</v>
      </c>
      <c r="I77" s="28">
        <f t="shared" si="3"/>
        <v>0.11569635877391483</v>
      </c>
    </row>
    <row r="78" spans="1:9" x14ac:dyDescent="0.35">
      <c r="A78" t="s">
        <v>383</v>
      </c>
      <c r="B78" s="4" t="s">
        <v>199</v>
      </c>
      <c r="C78" s="5">
        <v>101025</v>
      </c>
      <c r="D78" s="5">
        <v>108368</v>
      </c>
      <c r="E78" s="5"/>
      <c r="F78" s="5"/>
      <c r="G78">
        <f t="shared" si="2"/>
        <v>7343</v>
      </c>
      <c r="I78" s="28">
        <f t="shared" si="3"/>
        <v>7.2684978965602567E-2</v>
      </c>
    </row>
    <row r="79" spans="1:9" x14ac:dyDescent="0.35">
      <c r="A79" t="s">
        <v>384</v>
      </c>
      <c r="B79" s="4" t="s">
        <v>201</v>
      </c>
      <c r="C79" s="5">
        <v>3661</v>
      </c>
      <c r="D79" s="5">
        <v>3698</v>
      </c>
      <c r="E79" s="5"/>
      <c r="F79" s="5"/>
      <c r="G79">
        <f t="shared" si="2"/>
        <v>37</v>
      </c>
      <c r="I79" s="28">
        <f t="shared" si="3"/>
        <v>1.0106528270964218E-2</v>
      </c>
    </row>
    <row r="80" spans="1:9" x14ac:dyDescent="0.35">
      <c r="A80" t="s">
        <v>387</v>
      </c>
      <c r="B80" s="4" t="s">
        <v>200</v>
      </c>
      <c r="C80" s="5">
        <v>102968</v>
      </c>
      <c r="D80" s="5">
        <v>119829</v>
      </c>
      <c r="E80" s="5"/>
      <c r="F80" s="5"/>
      <c r="G80">
        <f t="shared" si="2"/>
        <v>16861</v>
      </c>
      <c r="I80" s="28">
        <f t="shared" si="3"/>
        <v>0.16374990288244892</v>
      </c>
    </row>
    <row r="81" spans="1:9" x14ac:dyDescent="0.35">
      <c r="A81" t="s">
        <v>202</v>
      </c>
      <c r="B81" s="4" t="s">
        <v>202</v>
      </c>
      <c r="C81" s="5">
        <v>66244</v>
      </c>
      <c r="D81" s="5">
        <v>71697</v>
      </c>
      <c r="E81" s="5"/>
      <c r="F81" s="5"/>
      <c r="G81">
        <f t="shared" si="2"/>
        <v>5453</v>
      </c>
      <c r="I81" s="28">
        <f t="shared" si="3"/>
        <v>8.2316889076746572E-2</v>
      </c>
    </row>
    <row r="82" spans="1:9" x14ac:dyDescent="0.35">
      <c r="A82" t="s">
        <v>195</v>
      </c>
      <c r="B82" s="4" t="s">
        <v>195</v>
      </c>
      <c r="C82" s="5">
        <v>44308</v>
      </c>
      <c r="D82" s="5">
        <v>46672</v>
      </c>
      <c r="E82" s="5"/>
      <c r="F82" s="5"/>
      <c r="G82">
        <f t="shared" si="2"/>
        <v>2364</v>
      </c>
      <c r="I82" s="28">
        <f t="shared" si="3"/>
        <v>5.3353796154193375E-2</v>
      </c>
    </row>
    <row r="83" spans="1:9" x14ac:dyDescent="0.35">
      <c r="A83" t="s">
        <v>385</v>
      </c>
      <c r="B83" s="4" t="s">
        <v>203</v>
      </c>
      <c r="C83" s="5">
        <v>377737</v>
      </c>
      <c r="D83" s="5">
        <v>419047</v>
      </c>
      <c r="E83" s="5"/>
      <c r="F83" s="5"/>
      <c r="G83">
        <f t="shared" si="2"/>
        <v>41310</v>
      </c>
      <c r="I83" s="28">
        <f t="shared" si="3"/>
        <v>0.10936180464185399</v>
      </c>
    </row>
    <row r="84" spans="1:9" x14ac:dyDescent="0.35">
      <c r="A84" t="s">
        <v>386</v>
      </c>
      <c r="B84" s="4" t="s">
        <v>191</v>
      </c>
      <c r="C84" s="5">
        <v>90118</v>
      </c>
      <c r="D84" s="5">
        <v>88475</v>
      </c>
      <c r="E84" s="5"/>
      <c r="F84" s="5"/>
      <c r="G84">
        <f t="shared" si="2"/>
        <v>-1643</v>
      </c>
      <c r="I84" s="28">
        <f t="shared" si="3"/>
        <v>-1.8231651834261745E-2</v>
      </c>
    </row>
    <row r="85" spans="1:9" x14ac:dyDescent="0.35">
      <c r="A85" t="s">
        <v>389</v>
      </c>
      <c r="B85" s="4" t="s">
        <v>192</v>
      </c>
      <c r="C85" s="5">
        <v>59254</v>
      </c>
      <c r="D85" s="5">
        <v>57813</v>
      </c>
      <c r="E85" s="5"/>
      <c r="F85" s="5"/>
      <c r="G85">
        <f t="shared" si="2"/>
        <v>-1441</v>
      </c>
      <c r="I85" s="28">
        <f t="shared" si="3"/>
        <v>-2.4319033314206637E-2</v>
      </c>
    </row>
    <row r="86" spans="1:9" x14ac:dyDescent="0.35">
      <c r="A86" t="s">
        <v>204</v>
      </c>
      <c r="B86" s="4" t="s">
        <v>204</v>
      </c>
      <c r="C86" s="5">
        <v>43259</v>
      </c>
      <c r="D86" s="5">
        <v>44651</v>
      </c>
      <c r="E86" s="5"/>
      <c r="F86" s="5"/>
      <c r="G86">
        <f t="shared" si="2"/>
        <v>1392</v>
      </c>
      <c r="I86" s="28">
        <f t="shared" si="3"/>
        <v>3.2178275041031927E-2</v>
      </c>
    </row>
    <row r="87" spans="1:9" x14ac:dyDescent="0.35">
      <c r="A87" t="s">
        <v>193</v>
      </c>
      <c r="B87" s="4" t="s">
        <v>193</v>
      </c>
      <c r="C87" s="5">
        <v>18628</v>
      </c>
      <c r="D87" s="5">
        <v>16451</v>
      </c>
      <c r="E87" s="5"/>
      <c r="F87" s="5"/>
      <c r="G87">
        <f t="shared" si="2"/>
        <v>-2177</v>
      </c>
      <c r="I87" s="28">
        <f t="shared" si="3"/>
        <v>-0.11686708181232554</v>
      </c>
    </row>
    <row r="88" spans="1:9" x14ac:dyDescent="0.35">
      <c r="A88" t="s">
        <v>388</v>
      </c>
      <c r="B88" s="4" t="s">
        <v>205</v>
      </c>
      <c r="C88" s="5">
        <v>55366</v>
      </c>
      <c r="D88" s="5">
        <v>51957</v>
      </c>
      <c r="E88" s="5"/>
      <c r="F88" s="5"/>
      <c r="G88">
        <f t="shared" si="2"/>
        <v>-3409</v>
      </c>
      <c r="I88" s="28">
        <f t="shared" si="3"/>
        <v>-6.1572083950438901E-2</v>
      </c>
    </row>
    <row r="89" spans="1:9" x14ac:dyDescent="0.35">
      <c r="A89" t="s">
        <v>390</v>
      </c>
      <c r="B89" s="4" t="s">
        <v>208</v>
      </c>
      <c r="C89" s="5">
        <v>44064</v>
      </c>
      <c r="D89" s="5">
        <v>39978</v>
      </c>
      <c r="E89" s="5"/>
      <c r="F89" s="5"/>
      <c r="G89">
        <f t="shared" si="2"/>
        <v>-4086</v>
      </c>
      <c r="I89" s="28">
        <f t="shared" si="3"/>
        <v>-9.2728758169934644E-2</v>
      </c>
    </row>
    <row r="90" spans="1:9" x14ac:dyDescent="0.35">
      <c r="A90" t="s">
        <v>194</v>
      </c>
      <c r="B90" s="4" t="s">
        <v>194</v>
      </c>
      <c r="C90" s="5">
        <v>20077</v>
      </c>
      <c r="D90" s="5">
        <v>17951</v>
      </c>
      <c r="E90" s="5"/>
      <c r="F90" s="5"/>
      <c r="G90">
        <f t="shared" si="2"/>
        <v>-2126</v>
      </c>
      <c r="I90" s="28">
        <f t="shared" si="3"/>
        <v>-0.105892314588833</v>
      </c>
    </row>
    <row r="91" spans="1:9" x14ac:dyDescent="0.35">
      <c r="A91" t="s">
        <v>391</v>
      </c>
      <c r="B91" s="4" t="s">
        <v>210</v>
      </c>
      <c r="C91" s="5">
        <v>97688</v>
      </c>
      <c r="D91" s="5">
        <v>95836</v>
      </c>
      <c r="E91" s="5"/>
      <c r="F91" s="5"/>
      <c r="G91">
        <f t="shared" si="2"/>
        <v>-1852</v>
      </c>
      <c r="I91" s="28">
        <f t="shared" si="3"/>
        <v>-1.8958316272213577E-2</v>
      </c>
    </row>
    <row r="92" spans="1:9" x14ac:dyDescent="0.35">
      <c r="A92" t="s">
        <v>211</v>
      </c>
      <c r="B92" s="4" t="s">
        <v>211</v>
      </c>
      <c r="C92" s="5">
        <v>36784</v>
      </c>
      <c r="D92" s="5">
        <v>36947</v>
      </c>
      <c r="E92" s="5"/>
      <c r="F92" s="5"/>
      <c r="G92">
        <f t="shared" si="2"/>
        <v>163</v>
      </c>
      <c r="I92" s="28">
        <f t="shared" si="3"/>
        <v>4.4312744671596346E-3</v>
      </c>
    </row>
    <row r="93" spans="1:9" x14ac:dyDescent="0.35">
      <c r="A93" t="s">
        <v>212</v>
      </c>
      <c r="B93" s="4" t="s">
        <v>212</v>
      </c>
      <c r="C93" s="5">
        <v>57606</v>
      </c>
      <c r="D93" s="5">
        <v>53259</v>
      </c>
      <c r="E93" s="5"/>
      <c r="F93" s="5"/>
      <c r="G93">
        <f t="shared" si="2"/>
        <v>-4347</v>
      </c>
      <c r="I93" s="28">
        <f t="shared" si="3"/>
        <v>-7.5460889490678057E-2</v>
      </c>
    </row>
    <row r="94" spans="1:9" x14ac:dyDescent="0.35">
      <c r="A94" t="s">
        <v>393</v>
      </c>
      <c r="B94" s="4" t="s">
        <v>219</v>
      </c>
      <c r="C94" s="5">
        <v>63056</v>
      </c>
      <c r="D94" s="5">
        <v>58905</v>
      </c>
      <c r="E94" s="5"/>
      <c r="F94" s="5"/>
      <c r="G94">
        <f t="shared" si="2"/>
        <v>-4151</v>
      </c>
      <c r="I94" s="28">
        <f t="shared" si="3"/>
        <v>-6.5830373001776202E-2</v>
      </c>
    </row>
    <row r="95" spans="1:9" x14ac:dyDescent="0.35">
      <c r="A95" t="s">
        <v>217</v>
      </c>
      <c r="B95" s="4" t="s">
        <v>217</v>
      </c>
      <c r="C95" s="5">
        <v>37884</v>
      </c>
      <c r="D95" s="5">
        <v>35951</v>
      </c>
      <c r="E95" s="5"/>
      <c r="F95" s="5"/>
      <c r="G95">
        <f t="shared" si="2"/>
        <v>-1933</v>
      </c>
      <c r="I95" s="28">
        <f t="shared" si="3"/>
        <v>-5.1024179072959558E-2</v>
      </c>
    </row>
    <row r="96" spans="1:9" x14ac:dyDescent="0.35">
      <c r="A96" t="s">
        <v>392</v>
      </c>
      <c r="B96" s="4" t="s">
        <v>214</v>
      </c>
      <c r="C96" s="5">
        <v>1714</v>
      </c>
      <c r="D96" s="5">
        <v>1632</v>
      </c>
      <c r="E96" s="5"/>
      <c r="F96" s="5"/>
      <c r="G96">
        <f t="shared" si="2"/>
        <v>-82</v>
      </c>
      <c r="I96" s="28">
        <f t="shared" si="3"/>
        <v>-4.7841306884480746E-2</v>
      </c>
    </row>
    <row r="97" spans="1:9" x14ac:dyDescent="0.35">
      <c r="A97" t="s">
        <v>394</v>
      </c>
      <c r="B97" s="4" t="s">
        <v>216</v>
      </c>
      <c r="C97" s="5">
        <v>41609</v>
      </c>
      <c r="D97" s="5">
        <v>40815</v>
      </c>
      <c r="E97" s="5"/>
      <c r="F97" s="5"/>
      <c r="G97">
        <f t="shared" si="2"/>
        <v>-794</v>
      </c>
      <c r="I97" s="28">
        <f t="shared" si="3"/>
        <v>-1.9082410055516835E-2</v>
      </c>
    </row>
    <row r="98" spans="1:9" x14ac:dyDescent="0.35">
      <c r="A98" t="s">
        <v>207</v>
      </c>
      <c r="B98" s="4" t="s">
        <v>207</v>
      </c>
      <c r="C98" s="5">
        <v>19388</v>
      </c>
      <c r="D98" s="5">
        <v>17591</v>
      </c>
      <c r="E98" s="5"/>
      <c r="F98" s="5"/>
      <c r="G98">
        <f t="shared" si="2"/>
        <v>-1797</v>
      </c>
      <c r="I98" s="28">
        <f t="shared" si="3"/>
        <v>-9.2686197648029711E-2</v>
      </c>
    </row>
    <row r="99" spans="1:9" x14ac:dyDescent="0.35">
      <c r="A99" t="s">
        <v>215</v>
      </c>
      <c r="B99" s="4" t="s">
        <v>215</v>
      </c>
      <c r="C99" s="5">
        <v>30996</v>
      </c>
      <c r="D99" s="5">
        <v>30631</v>
      </c>
      <c r="E99" s="5"/>
      <c r="F99" s="5"/>
      <c r="G99">
        <f t="shared" si="2"/>
        <v>-365</v>
      </c>
      <c r="I99" s="28">
        <f t="shared" si="3"/>
        <v>-1.1775712995225191E-2</v>
      </c>
    </row>
    <row r="100" spans="1:9" x14ac:dyDescent="0.35">
      <c r="A100" t="s">
        <v>395</v>
      </c>
      <c r="B100" s="4" t="s">
        <v>209</v>
      </c>
      <c r="C100" s="5">
        <v>42600</v>
      </c>
      <c r="D100" s="5">
        <v>40303</v>
      </c>
      <c r="E100" s="5"/>
      <c r="F100" s="5"/>
      <c r="G100">
        <f t="shared" si="2"/>
        <v>-2297</v>
      </c>
      <c r="I100" s="28">
        <f t="shared" si="3"/>
        <v>-5.3920187793427228E-2</v>
      </c>
    </row>
    <row r="101" spans="1:9" x14ac:dyDescent="0.35">
      <c r="A101" t="s">
        <v>213</v>
      </c>
      <c r="B101" s="4" t="s">
        <v>225</v>
      </c>
      <c r="C101" s="5">
        <v>35679</v>
      </c>
      <c r="D101" s="5">
        <v>33239</v>
      </c>
      <c r="E101" s="5"/>
      <c r="F101" s="5"/>
      <c r="G101">
        <f t="shared" si="2"/>
        <v>-2440</v>
      </c>
      <c r="I101" s="28">
        <f t="shared" si="3"/>
        <v>-6.8387566916113127E-2</v>
      </c>
    </row>
    <row r="102" spans="1:9" x14ac:dyDescent="0.35">
      <c r="A102" t="s">
        <v>396</v>
      </c>
      <c r="B102" s="4" t="s">
        <v>218</v>
      </c>
      <c r="C102" s="5">
        <v>225942</v>
      </c>
      <c r="D102" s="5">
        <v>236360</v>
      </c>
      <c r="E102" s="5"/>
      <c r="F102" s="5"/>
      <c r="G102">
        <f t="shared" si="2"/>
        <v>10418</v>
      </c>
      <c r="I102" s="28">
        <f t="shared" si="3"/>
        <v>4.6109178461729114E-2</v>
      </c>
    </row>
    <row r="104" spans="1:9" ht="29" x14ac:dyDescent="0.35">
      <c r="B104" s="11" t="s">
        <v>226</v>
      </c>
      <c r="G104" s="12">
        <f>SUM(G4:G102)</f>
        <v>170798</v>
      </c>
      <c r="H10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7EA-0584-49D1-845F-F6DDF2D14152}">
  <dimension ref="A1:E128"/>
  <sheetViews>
    <sheetView workbookViewId="0">
      <selection activeCell="D128" sqref="D128"/>
    </sheetView>
  </sheetViews>
  <sheetFormatPr defaultRowHeight="14.5" x14ac:dyDescent="0.35"/>
  <cols>
    <col min="1" max="1" width="78.1796875" bestFit="1" customWidth="1"/>
    <col min="2" max="2" width="31.54296875" bestFit="1" customWidth="1"/>
    <col min="3" max="3" width="22" bestFit="1" customWidth="1"/>
    <col min="4" max="4" width="26.1796875" bestFit="1" customWidth="1"/>
    <col min="5" max="5" width="15.81640625" bestFit="1" customWidth="1"/>
  </cols>
  <sheetData>
    <row r="1" spans="1:5" ht="17" x14ac:dyDescent="0.4">
      <c r="A1" s="1" t="s">
        <v>0</v>
      </c>
      <c r="E1" s="2"/>
    </row>
    <row r="2" spans="1:5" x14ac:dyDescent="0.35">
      <c r="A2" s="3" t="s">
        <v>1</v>
      </c>
      <c r="E2" s="2" t="s">
        <v>2</v>
      </c>
    </row>
    <row r="3" spans="1:5" x14ac:dyDescent="0.35">
      <c r="C3" s="4" t="s">
        <v>3</v>
      </c>
      <c r="D3" s="4" t="s">
        <v>4</v>
      </c>
      <c r="E3" s="2"/>
    </row>
    <row r="4" spans="1:5" x14ac:dyDescent="0.35">
      <c r="A4" s="4" t="s">
        <v>5</v>
      </c>
      <c r="B4" s="4" t="s">
        <v>6</v>
      </c>
      <c r="C4" s="5">
        <v>0</v>
      </c>
      <c r="D4" s="5">
        <v>0</v>
      </c>
      <c r="E4" s="2"/>
    </row>
    <row r="5" spans="1:5" x14ac:dyDescent="0.35">
      <c r="B5" s="4" t="s">
        <v>7</v>
      </c>
      <c r="C5" s="5">
        <v>0</v>
      </c>
      <c r="D5" s="5">
        <v>0</v>
      </c>
      <c r="E5" s="2"/>
    </row>
    <row r="6" spans="1:5" x14ac:dyDescent="0.35">
      <c r="B6" s="4" t="s">
        <v>8</v>
      </c>
      <c r="C6" s="5">
        <v>0</v>
      </c>
      <c r="D6" s="5">
        <v>0</v>
      </c>
      <c r="E6" s="2"/>
    </row>
    <row r="7" spans="1:5" x14ac:dyDescent="0.35">
      <c r="B7" s="4" t="s">
        <v>9</v>
      </c>
      <c r="C7" s="5">
        <v>35310</v>
      </c>
      <c r="D7" s="5">
        <v>41146</v>
      </c>
      <c r="E7" s="2">
        <f>C7/(C7+D7)</f>
        <v>0.46183425761222141</v>
      </c>
    </row>
    <row r="8" spans="1:5" x14ac:dyDescent="0.35">
      <c r="B8" s="4" t="s">
        <v>10</v>
      </c>
      <c r="C8" s="5">
        <v>0</v>
      </c>
      <c r="D8" s="5">
        <v>0</v>
      </c>
      <c r="E8" s="2"/>
    </row>
    <row r="9" spans="1:5" x14ac:dyDescent="0.35">
      <c r="B9" s="4" t="s">
        <v>11</v>
      </c>
      <c r="C9" s="5">
        <v>61301</v>
      </c>
      <c r="D9" s="5">
        <v>45132</v>
      </c>
      <c r="E9" s="2">
        <f t="shared" ref="E9:E75" si="0">C9/(C9+D9)</f>
        <v>0.57595858427367452</v>
      </c>
    </row>
    <row r="10" spans="1:5" x14ac:dyDescent="0.35">
      <c r="B10" s="4" t="s">
        <v>12</v>
      </c>
      <c r="C10" s="5">
        <v>29081</v>
      </c>
      <c r="D10" s="5">
        <v>9622</v>
      </c>
      <c r="E10" s="2">
        <f t="shared" si="0"/>
        <v>0.75138878123142905</v>
      </c>
    </row>
    <row r="11" spans="1:5" x14ac:dyDescent="0.35">
      <c r="B11" s="4" t="s">
        <v>13</v>
      </c>
      <c r="C11" s="5">
        <v>40597</v>
      </c>
      <c r="D11" s="5">
        <v>55843</v>
      </c>
      <c r="E11" s="2">
        <f t="shared" si="0"/>
        <v>0.42095603484031524</v>
      </c>
    </row>
    <row r="12" spans="1:5" x14ac:dyDescent="0.35">
      <c r="B12" s="4" t="s">
        <v>14</v>
      </c>
      <c r="C12" s="5">
        <v>56847</v>
      </c>
      <c r="D12" s="5">
        <v>51901</v>
      </c>
      <c r="E12" s="2">
        <f t="shared" si="0"/>
        <v>0.52274064810387322</v>
      </c>
    </row>
    <row r="13" spans="1:5" x14ac:dyDescent="0.35">
      <c r="B13" s="4" t="s">
        <v>15</v>
      </c>
      <c r="C13" s="5">
        <v>82209</v>
      </c>
      <c r="D13" s="5">
        <v>87908</v>
      </c>
      <c r="E13" s="2">
        <f t="shared" si="0"/>
        <v>0.48324976339813186</v>
      </c>
    </row>
    <row r="14" spans="1:5" x14ac:dyDescent="0.35">
      <c r="B14" s="4" t="s">
        <v>16</v>
      </c>
      <c r="C14" s="5">
        <v>40442</v>
      </c>
      <c r="D14" s="5">
        <v>18256</v>
      </c>
      <c r="E14" s="2">
        <f t="shared" si="0"/>
        <v>0.68898429248015269</v>
      </c>
    </row>
    <row r="15" spans="1:5" x14ac:dyDescent="0.35">
      <c r="B15" s="4" t="s">
        <v>17</v>
      </c>
      <c r="C15" s="5">
        <v>51772</v>
      </c>
      <c r="D15" s="5">
        <v>57055</v>
      </c>
      <c r="E15" s="2">
        <f t="shared" si="0"/>
        <v>0.47572753085171876</v>
      </c>
    </row>
    <row r="16" spans="1:5" x14ac:dyDescent="0.35">
      <c r="B16" s="4" t="s">
        <v>18</v>
      </c>
      <c r="C16" s="5">
        <v>61354</v>
      </c>
      <c r="D16" s="5">
        <v>51496</v>
      </c>
      <c r="E16" s="2">
        <f t="shared" si="0"/>
        <v>0.54367744793974304</v>
      </c>
    </row>
    <row r="17" spans="2:5" x14ac:dyDescent="0.35">
      <c r="B17" s="4"/>
      <c r="C17" s="6">
        <f>SUM(C4:C16)</f>
        <v>458913</v>
      </c>
      <c r="D17" s="6">
        <f>SUM(D4:D16)</f>
        <v>418359</v>
      </c>
      <c r="E17" s="7">
        <f t="shared" si="0"/>
        <v>0.52311369791809159</v>
      </c>
    </row>
    <row r="18" spans="2:5" x14ac:dyDescent="0.35">
      <c r="B18" s="4" t="s">
        <v>19</v>
      </c>
      <c r="C18" s="5">
        <v>55870</v>
      </c>
      <c r="D18" s="5">
        <v>47226</v>
      </c>
      <c r="E18" s="2">
        <f t="shared" si="0"/>
        <v>0.54192209203072861</v>
      </c>
    </row>
    <row r="19" spans="2:5" x14ac:dyDescent="0.35">
      <c r="B19" s="4" t="s">
        <v>20</v>
      </c>
      <c r="C19" s="5">
        <v>48605</v>
      </c>
      <c r="D19" s="5">
        <v>26481</v>
      </c>
      <c r="E19" s="2">
        <f t="shared" si="0"/>
        <v>0.64732440135311509</v>
      </c>
    </row>
    <row r="20" spans="2:5" x14ac:dyDescent="0.35">
      <c r="B20" s="4" t="s">
        <v>21</v>
      </c>
      <c r="C20" s="5">
        <v>54408</v>
      </c>
      <c r="D20" s="5">
        <v>60552</v>
      </c>
      <c r="E20" s="2">
        <f t="shared" si="0"/>
        <v>0.47327766179540709</v>
      </c>
    </row>
    <row r="21" spans="2:5" x14ac:dyDescent="0.35">
      <c r="B21" s="4" t="s">
        <v>22</v>
      </c>
      <c r="C21" s="5">
        <v>43290</v>
      </c>
      <c r="D21" s="5">
        <v>21102</v>
      </c>
      <c r="E21" s="2">
        <f t="shared" si="0"/>
        <v>0.67228848304137157</v>
      </c>
    </row>
    <row r="22" spans="2:5" x14ac:dyDescent="0.35">
      <c r="B22" s="4" t="s">
        <v>23</v>
      </c>
      <c r="C22" s="5">
        <v>44535</v>
      </c>
      <c r="D22" s="5">
        <v>22914</v>
      </c>
      <c r="E22" s="2">
        <f t="shared" si="0"/>
        <v>0.66027665347151177</v>
      </c>
    </row>
    <row r="23" spans="2:5" x14ac:dyDescent="0.35">
      <c r="B23" s="4" t="s">
        <v>24</v>
      </c>
      <c r="C23" s="5">
        <v>68391</v>
      </c>
      <c r="D23" s="5">
        <v>25713</v>
      </c>
      <c r="E23" s="2">
        <f t="shared" si="0"/>
        <v>0.72675975516449887</v>
      </c>
    </row>
    <row r="24" spans="2:5" x14ac:dyDescent="0.35">
      <c r="B24" s="4" t="s">
        <v>25</v>
      </c>
      <c r="C24" s="5">
        <v>53698</v>
      </c>
      <c r="D24" s="5">
        <v>20012</v>
      </c>
      <c r="E24" s="2">
        <f t="shared" si="0"/>
        <v>0.72850359517026186</v>
      </c>
    </row>
    <row r="25" spans="2:5" x14ac:dyDescent="0.35">
      <c r="B25" s="4" t="s">
        <v>26</v>
      </c>
      <c r="C25" s="5">
        <v>56326</v>
      </c>
      <c r="D25" s="5">
        <v>42965</v>
      </c>
      <c r="E25" s="2">
        <f t="shared" si="0"/>
        <v>0.56728202958979157</v>
      </c>
    </row>
    <row r="26" spans="2:5" x14ac:dyDescent="0.35">
      <c r="B26" s="4" t="s">
        <v>27</v>
      </c>
      <c r="C26" s="5">
        <v>57614</v>
      </c>
      <c r="D26" s="5">
        <v>39272</v>
      </c>
      <c r="E26" s="2">
        <f t="shared" si="0"/>
        <v>0.59465763887455358</v>
      </c>
    </row>
    <row r="27" spans="2:5" x14ac:dyDescent="0.35">
      <c r="B27" s="4" t="s">
        <v>28</v>
      </c>
      <c r="C27" s="5">
        <v>36601</v>
      </c>
      <c r="D27" s="5">
        <v>22321</v>
      </c>
      <c r="E27" s="2">
        <f t="shared" si="0"/>
        <v>0.62117714945181768</v>
      </c>
    </row>
    <row r="28" spans="2:5" x14ac:dyDescent="0.35">
      <c r="B28" s="4" t="s">
        <v>29</v>
      </c>
      <c r="C28" s="5">
        <v>56842</v>
      </c>
      <c r="D28" s="5">
        <v>25402</v>
      </c>
      <c r="E28" s="2">
        <f t="shared" si="0"/>
        <v>0.69113856329945045</v>
      </c>
    </row>
    <row r="29" spans="2:5" x14ac:dyDescent="0.35">
      <c r="B29" s="4" t="s">
        <v>30</v>
      </c>
      <c r="C29" s="5">
        <v>37529</v>
      </c>
      <c r="D29" s="5">
        <v>48047</v>
      </c>
      <c r="E29" s="2">
        <f t="shared" si="0"/>
        <v>0.43854585397775075</v>
      </c>
    </row>
    <row r="30" spans="2:5" x14ac:dyDescent="0.35">
      <c r="B30" s="4" t="s">
        <v>31</v>
      </c>
      <c r="C30" s="5">
        <v>39123</v>
      </c>
      <c r="D30" s="5">
        <v>18954</v>
      </c>
      <c r="E30" s="2">
        <f t="shared" si="0"/>
        <v>0.67364016736401677</v>
      </c>
    </row>
    <row r="31" spans="2:5" x14ac:dyDescent="0.35">
      <c r="B31" s="4"/>
      <c r="C31" s="6">
        <f>SUM(C18:C30)</f>
        <v>652832</v>
      </c>
      <c r="D31" s="6">
        <f>SUM(D18:D30)</f>
        <v>420961</v>
      </c>
      <c r="E31" s="7">
        <f t="shared" si="0"/>
        <v>0.60796820243752758</v>
      </c>
    </row>
    <row r="32" spans="2:5" x14ac:dyDescent="0.35">
      <c r="B32" s="4" t="s">
        <v>32</v>
      </c>
      <c r="C32" s="5">
        <v>65635</v>
      </c>
      <c r="D32" s="5">
        <v>27430</v>
      </c>
      <c r="E32" s="2">
        <f t="shared" si="0"/>
        <v>0.70525976468059959</v>
      </c>
    </row>
    <row r="33" spans="2:5" x14ac:dyDescent="0.35">
      <c r="B33" s="4" t="s">
        <v>33</v>
      </c>
      <c r="C33" s="5">
        <v>21267</v>
      </c>
      <c r="D33" s="5">
        <v>8671</v>
      </c>
      <c r="E33" s="2">
        <f t="shared" si="0"/>
        <v>0.7103680940610595</v>
      </c>
    </row>
    <row r="34" spans="2:5" x14ac:dyDescent="0.35">
      <c r="B34" s="4" t="s">
        <v>34</v>
      </c>
      <c r="C34" s="5">
        <v>45332</v>
      </c>
      <c r="D34" s="5">
        <v>18716</v>
      </c>
      <c r="E34" s="2">
        <f t="shared" si="0"/>
        <v>0.70778166375218587</v>
      </c>
    </row>
    <row r="35" spans="2:5" x14ac:dyDescent="0.35">
      <c r="B35" s="4" t="s">
        <v>35</v>
      </c>
      <c r="C35" s="5">
        <v>37125</v>
      </c>
      <c r="D35" s="5">
        <v>10717</v>
      </c>
      <c r="E35" s="2">
        <f t="shared" si="0"/>
        <v>0.77599180636261023</v>
      </c>
    </row>
    <row r="36" spans="2:5" x14ac:dyDescent="0.35">
      <c r="B36" s="4" t="s">
        <v>36</v>
      </c>
      <c r="C36" s="5">
        <v>55936</v>
      </c>
      <c r="D36" s="5">
        <v>19193</v>
      </c>
      <c r="E36" s="2">
        <f t="shared" si="0"/>
        <v>0.74453273702564926</v>
      </c>
    </row>
    <row r="37" spans="2:5" x14ac:dyDescent="0.35">
      <c r="B37" s="4" t="s">
        <v>37</v>
      </c>
      <c r="C37" s="5">
        <v>25048</v>
      </c>
      <c r="D37" s="5">
        <v>6886</v>
      </c>
      <c r="E37" s="2">
        <f t="shared" si="0"/>
        <v>0.78436775850191021</v>
      </c>
    </row>
    <row r="38" spans="2:5" x14ac:dyDescent="0.35">
      <c r="B38" s="4" t="s">
        <v>38</v>
      </c>
      <c r="C38" s="5">
        <v>48894</v>
      </c>
      <c r="D38" s="5">
        <v>18061</v>
      </c>
      <c r="E38" s="2">
        <f t="shared" si="0"/>
        <v>0.73025166156373689</v>
      </c>
    </row>
    <row r="39" spans="2:5" x14ac:dyDescent="0.35">
      <c r="B39" s="4" t="s">
        <v>39</v>
      </c>
      <c r="C39" s="5">
        <v>60360</v>
      </c>
      <c r="D39" s="5">
        <v>20473</v>
      </c>
      <c r="E39" s="2">
        <f t="shared" si="0"/>
        <v>0.7467247287617681</v>
      </c>
    </row>
    <row r="40" spans="2:5" x14ac:dyDescent="0.35">
      <c r="B40" s="4" t="s">
        <v>40</v>
      </c>
      <c r="C40" s="5">
        <v>0</v>
      </c>
      <c r="D40" s="5">
        <v>0</v>
      </c>
      <c r="E40" s="2"/>
    </row>
    <row r="41" spans="2:5" x14ac:dyDescent="0.35">
      <c r="B41" s="4" t="s">
        <v>41</v>
      </c>
      <c r="C41" s="5">
        <v>47101</v>
      </c>
      <c r="D41" s="5">
        <v>14938</v>
      </c>
      <c r="E41" s="2">
        <f t="shared" si="0"/>
        <v>0.75921597704669641</v>
      </c>
    </row>
    <row r="42" spans="2:5" x14ac:dyDescent="0.35">
      <c r="B42" s="4" t="s">
        <v>42</v>
      </c>
      <c r="C42" s="5">
        <v>65962</v>
      </c>
      <c r="D42" s="5">
        <v>19216</v>
      </c>
      <c r="E42" s="2">
        <f t="shared" si="0"/>
        <v>0.77440184085092389</v>
      </c>
    </row>
    <row r="43" spans="2:5" x14ac:dyDescent="0.35">
      <c r="B43" s="4" t="s">
        <v>43</v>
      </c>
      <c r="C43" s="5">
        <v>34096</v>
      </c>
      <c r="D43" s="5">
        <v>10719</v>
      </c>
      <c r="E43" s="2">
        <f t="shared" si="0"/>
        <v>0.76081669084012049</v>
      </c>
    </row>
    <row r="44" spans="2:5" x14ac:dyDescent="0.35">
      <c r="B44" s="4" t="s">
        <v>44</v>
      </c>
      <c r="C44" s="5">
        <v>53995</v>
      </c>
      <c r="D44" s="5">
        <v>25292</v>
      </c>
      <c r="E44" s="2">
        <f t="shared" si="0"/>
        <v>0.68100697466167215</v>
      </c>
    </row>
    <row r="45" spans="2:5" x14ac:dyDescent="0.35">
      <c r="B45" s="4"/>
      <c r="C45" s="6">
        <f>SUM(C32:C44)</f>
        <v>560751</v>
      </c>
      <c r="D45" s="6">
        <f>SUM(D32:D44)</f>
        <v>200312</v>
      </c>
      <c r="E45" s="7">
        <f t="shared" si="0"/>
        <v>0.73679971303295522</v>
      </c>
    </row>
    <row r="46" spans="2:5" x14ac:dyDescent="0.35">
      <c r="B46" s="4" t="s">
        <v>45</v>
      </c>
      <c r="C46" s="5">
        <v>16207</v>
      </c>
      <c r="D46" s="5">
        <v>4876</v>
      </c>
      <c r="E46" s="2">
        <f t="shared" si="0"/>
        <v>0.76872361618365503</v>
      </c>
    </row>
    <row r="47" spans="2:5" x14ac:dyDescent="0.35">
      <c r="B47" s="4" t="s">
        <v>46</v>
      </c>
      <c r="C47" s="5">
        <v>12889</v>
      </c>
      <c r="D47" s="5">
        <v>4444</v>
      </c>
      <c r="E47" s="2">
        <f t="shared" si="0"/>
        <v>0.74361045404719317</v>
      </c>
    </row>
    <row r="48" spans="2:5" x14ac:dyDescent="0.35">
      <c r="B48" s="4" t="s">
        <v>47</v>
      </c>
      <c r="C48" s="5">
        <v>14300</v>
      </c>
      <c r="D48" s="5">
        <v>3575</v>
      </c>
      <c r="E48" s="2">
        <f t="shared" si="0"/>
        <v>0.8</v>
      </c>
    </row>
    <row r="49" spans="2:5" x14ac:dyDescent="0.35">
      <c r="B49" s="4" t="s">
        <v>48</v>
      </c>
      <c r="C49" s="5">
        <v>31707</v>
      </c>
      <c r="D49" s="5">
        <v>9422</v>
      </c>
      <c r="E49" s="2">
        <f t="shared" si="0"/>
        <v>0.77091589875756761</v>
      </c>
    </row>
    <row r="50" spans="2:5" x14ac:dyDescent="0.35">
      <c r="B50" s="4"/>
      <c r="C50" s="6">
        <f>SUM(C46:C49)</f>
        <v>75103</v>
      </c>
      <c r="D50" s="6">
        <f>SUM(D46:D49)</f>
        <v>22317</v>
      </c>
      <c r="E50" s="7">
        <f t="shared" si="0"/>
        <v>0.77091972900841721</v>
      </c>
    </row>
    <row r="51" spans="2:5" x14ac:dyDescent="0.35">
      <c r="B51" s="4" t="s">
        <v>49</v>
      </c>
      <c r="C51" s="5">
        <v>70051</v>
      </c>
      <c r="D51" s="5">
        <v>38666</v>
      </c>
      <c r="E51" s="2">
        <f t="shared" si="0"/>
        <v>0.64434265110332334</v>
      </c>
    </row>
    <row r="52" spans="2:5" x14ac:dyDescent="0.35">
      <c r="B52" s="4" t="s">
        <v>50</v>
      </c>
      <c r="C52" s="5">
        <v>0</v>
      </c>
      <c r="D52" s="5">
        <v>0</v>
      </c>
      <c r="E52" s="2"/>
    </row>
    <row r="53" spans="2:5" x14ac:dyDescent="0.35">
      <c r="B53" s="4" t="s">
        <v>51</v>
      </c>
      <c r="C53" s="5">
        <v>24016</v>
      </c>
      <c r="D53" s="5">
        <v>5376</v>
      </c>
      <c r="E53" s="2">
        <f t="shared" si="0"/>
        <v>0.81709308655416435</v>
      </c>
    </row>
    <row r="54" spans="2:5" x14ac:dyDescent="0.35">
      <c r="B54" s="4" t="s">
        <v>52</v>
      </c>
      <c r="C54" s="5">
        <v>32527</v>
      </c>
      <c r="D54" s="5">
        <v>7526</v>
      </c>
      <c r="E54" s="2">
        <f t="shared" si="0"/>
        <v>0.81209896886625221</v>
      </c>
    </row>
    <row r="55" spans="2:5" x14ac:dyDescent="0.35">
      <c r="B55" s="4" t="s">
        <v>53</v>
      </c>
      <c r="C55" s="5">
        <v>33146</v>
      </c>
      <c r="D55" s="5">
        <v>7460</v>
      </c>
      <c r="E55" s="2">
        <f t="shared" si="0"/>
        <v>0.81628330788553416</v>
      </c>
    </row>
    <row r="56" spans="2:5" x14ac:dyDescent="0.35">
      <c r="B56" s="4" t="s">
        <v>54</v>
      </c>
      <c r="C56" s="5">
        <v>45484</v>
      </c>
      <c r="D56" s="5">
        <v>14580</v>
      </c>
      <c r="E56" s="2">
        <f t="shared" si="0"/>
        <v>0.75725892381459781</v>
      </c>
    </row>
    <row r="57" spans="2:5" x14ac:dyDescent="0.35">
      <c r="B57" s="4" t="s">
        <v>55</v>
      </c>
      <c r="C57" s="5">
        <v>17515</v>
      </c>
      <c r="D57" s="5">
        <v>4442</v>
      </c>
      <c r="E57" s="2">
        <f t="shared" si="0"/>
        <v>0.79769549574167686</v>
      </c>
    </row>
    <row r="58" spans="2:5" x14ac:dyDescent="0.35">
      <c r="B58" s="4" t="s">
        <v>56</v>
      </c>
      <c r="C58" s="5">
        <v>0</v>
      </c>
      <c r="D58" s="5">
        <v>0</v>
      </c>
      <c r="E58" s="2"/>
    </row>
    <row r="59" spans="2:5" x14ac:dyDescent="0.35">
      <c r="B59" s="4" t="s">
        <v>57</v>
      </c>
      <c r="C59" s="5">
        <v>0</v>
      </c>
      <c r="D59" s="5">
        <v>0</v>
      </c>
      <c r="E59" s="2"/>
    </row>
    <row r="60" spans="2:5" x14ac:dyDescent="0.35">
      <c r="B60" s="4" t="s">
        <v>58</v>
      </c>
      <c r="C60" s="5">
        <v>0</v>
      </c>
      <c r="D60" s="5">
        <v>0</v>
      </c>
      <c r="E60" s="2"/>
    </row>
    <row r="61" spans="2:5" x14ac:dyDescent="0.35">
      <c r="B61" s="4" t="s">
        <v>59</v>
      </c>
      <c r="C61" s="5">
        <v>79163</v>
      </c>
      <c r="D61" s="5">
        <v>25551</v>
      </c>
      <c r="E61" s="2">
        <f t="shared" si="0"/>
        <v>0.75599251294000802</v>
      </c>
    </row>
    <row r="62" spans="2:5" x14ac:dyDescent="0.35">
      <c r="B62" s="4" t="s">
        <v>60</v>
      </c>
      <c r="C62" s="5">
        <v>24467</v>
      </c>
      <c r="D62" s="5">
        <v>5849</v>
      </c>
      <c r="E62" s="2">
        <f t="shared" si="0"/>
        <v>0.80706557593350048</v>
      </c>
    </row>
    <row r="63" spans="2:5" x14ac:dyDescent="0.35">
      <c r="B63" s="4" t="s">
        <v>61</v>
      </c>
      <c r="C63" s="5">
        <v>13767</v>
      </c>
      <c r="D63" s="5">
        <v>3789</v>
      </c>
      <c r="E63" s="2">
        <f t="shared" si="0"/>
        <v>0.78417634996582364</v>
      </c>
    </row>
    <row r="64" spans="2:5" x14ac:dyDescent="0.35">
      <c r="B64" s="4" t="s">
        <v>62</v>
      </c>
      <c r="C64" s="5">
        <v>44413</v>
      </c>
      <c r="D64" s="5">
        <v>12358</v>
      </c>
      <c r="E64" s="2">
        <f t="shared" si="0"/>
        <v>0.78231843723027605</v>
      </c>
    </row>
    <row r="65" spans="2:5" x14ac:dyDescent="0.35">
      <c r="B65" s="4"/>
      <c r="C65" s="6">
        <f>SUM(C51:C64)</f>
        <v>384549</v>
      </c>
      <c r="D65" s="6">
        <f>SUM(D51:D64)</f>
        <v>125597</v>
      </c>
      <c r="E65" s="7">
        <f t="shared" si="0"/>
        <v>0.75380185280292311</v>
      </c>
    </row>
    <row r="66" spans="2:5" x14ac:dyDescent="0.35">
      <c r="B66" s="4" t="s">
        <v>63</v>
      </c>
      <c r="C66" s="5">
        <v>61503</v>
      </c>
      <c r="D66" s="5">
        <v>23110</v>
      </c>
      <c r="E66" s="2">
        <f t="shared" si="0"/>
        <v>0.72687412099795534</v>
      </c>
    </row>
    <row r="67" spans="2:5" x14ac:dyDescent="0.35">
      <c r="B67" s="4" t="s">
        <v>64</v>
      </c>
      <c r="C67" s="5">
        <v>42762</v>
      </c>
      <c r="D67" s="5">
        <v>11655</v>
      </c>
      <c r="E67" s="2">
        <f t="shared" si="0"/>
        <v>0.7858206075307349</v>
      </c>
    </row>
    <row r="68" spans="2:5" x14ac:dyDescent="0.35">
      <c r="B68" s="4" t="s">
        <v>65</v>
      </c>
      <c r="C68" s="5">
        <v>22875</v>
      </c>
      <c r="D68" s="5">
        <v>4368</v>
      </c>
      <c r="E68" s="2">
        <f t="shared" si="0"/>
        <v>0.83966523510626578</v>
      </c>
    </row>
    <row r="69" spans="2:5" x14ac:dyDescent="0.35">
      <c r="B69" s="4" t="s">
        <v>66</v>
      </c>
      <c r="C69" s="5">
        <v>14937</v>
      </c>
      <c r="D69" s="5">
        <v>2764</v>
      </c>
      <c r="E69" s="2">
        <f t="shared" si="0"/>
        <v>0.84385062990791482</v>
      </c>
    </row>
    <row r="70" spans="2:5" x14ac:dyDescent="0.35">
      <c r="B70" s="4" t="s">
        <v>67</v>
      </c>
      <c r="C70" s="5">
        <v>30636</v>
      </c>
      <c r="D70" s="5">
        <v>5997</v>
      </c>
      <c r="E70" s="2">
        <f t="shared" si="0"/>
        <v>0.83629514372287284</v>
      </c>
    </row>
    <row r="71" spans="2:5" x14ac:dyDescent="0.35">
      <c r="B71" s="4" t="s">
        <v>68</v>
      </c>
      <c r="C71" s="5">
        <v>19297</v>
      </c>
      <c r="D71" s="5">
        <v>3736</v>
      </c>
      <c r="E71" s="2">
        <f t="shared" si="0"/>
        <v>0.83779794208309821</v>
      </c>
    </row>
    <row r="72" spans="2:5" x14ac:dyDescent="0.35">
      <c r="B72" s="4" t="s">
        <v>69</v>
      </c>
      <c r="C72" s="5">
        <v>46651</v>
      </c>
      <c r="D72" s="5">
        <v>10792</v>
      </c>
      <c r="E72" s="2">
        <f t="shared" si="0"/>
        <v>0.81212680396218861</v>
      </c>
    </row>
    <row r="73" spans="2:5" x14ac:dyDescent="0.35">
      <c r="B73" s="4" t="s">
        <v>70</v>
      </c>
      <c r="C73" s="5">
        <v>31781</v>
      </c>
      <c r="D73" s="5">
        <v>6152</v>
      </c>
      <c r="E73" s="2">
        <f t="shared" si="0"/>
        <v>0.83781931299923551</v>
      </c>
    </row>
    <row r="74" spans="2:5" x14ac:dyDescent="0.35">
      <c r="B74" s="4" t="s">
        <v>71</v>
      </c>
      <c r="C74" s="5">
        <v>23769</v>
      </c>
      <c r="D74" s="5">
        <v>6276</v>
      </c>
      <c r="E74" s="2">
        <f t="shared" si="0"/>
        <v>0.79111333000499251</v>
      </c>
    </row>
    <row r="75" spans="2:5" x14ac:dyDescent="0.35">
      <c r="B75" s="4" t="s">
        <v>72</v>
      </c>
      <c r="C75" s="5">
        <v>10580</v>
      </c>
      <c r="D75" s="5">
        <v>1919</v>
      </c>
      <c r="E75" s="2">
        <f t="shared" si="0"/>
        <v>0.84646771741739335</v>
      </c>
    </row>
    <row r="76" spans="2:5" x14ac:dyDescent="0.35">
      <c r="B76" s="4" t="s">
        <v>73</v>
      </c>
      <c r="C76" s="5">
        <v>15681</v>
      </c>
      <c r="D76" s="5">
        <v>3648</v>
      </c>
      <c r="E76" s="2">
        <f t="shared" ref="E76:E125" si="1">C76/(C76+D76)</f>
        <v>0.81126804283718768</v>
      </c>
    </row>
    <row r="77" spans="2:5" x14ac:dyDescent="0.35">
      <c r="B77" s="4" t="s">
        <v>74</v>
      </c>
      <c r="C77" s="5">
        <v>44981</v>
      </c>
      <c r="D77" s="5">
        <v>15025</v>
      </c>
      <c r="E77" s="2">
        <f t="shared" si="1"/>
        <v>0.7496083724960837</v>
      </c>
    </row>
    <row r="78" spans="2:5" x14ac:dyDescent="0.35">
      <c r="B78" s="4" t="s">
        <v>75</v>
      </c>
      <c r="C78" s="5">
        <v>34323</v>
      </c>
      <c r="D78" s="5">
        <v>7252</v>
      </c>
      <c r="E78" s="2">
        <f t="shared" si="1"/>
        <v>0.82556825015033075</v>
      </c>
    </row>
    <row r="79" spans="2:5" x14ac:dyDescent="0.35">
      <c r="B79" s="4" t="s">
        <v>76</v>
      </c>
      <c r="C79" s="5">
        <v>25824</v>
      </c>
      <c r="D79" s="5">
        <v>5452</v>
      </c>
      <c r="E79" s="2">
        <f t="shared" si="1"/>
        <v>0.82568103338022769</v>
      </c>
    </row>
    <row r="80" spans="2:5" x14ac:dyDescent="0.35">
      <c r="B80" s="4"/>
      <c r="C80" s="6">
        <f>SUM(C66:C79)</f>
        <v>425600</v>
      </c>
      <c r="D80" s="6">
        <f>SUM(D66:D79)</f>
        <v>108146</v>
      </c>
      <c r="E80" s="7">
        <f t="shared" si="1"/>
        <v>0.79738302488449564</v>
      </c>
    </row>
    <row r="81" spans="2:5" x14ac:dyDescent="0.35">
      <c r="B81" s="4" t="s">
        <v>77</v>
      </c>
      <c r="C81" s="5">
        <v>49604</v>
      </c>
      <c r="D81" s="5">
        <v>12776</v>
      </c>
      <c r="E81" s="2">
        <f t="shared" si="1"/>
        <v>0.79519076627124075</v>
      </c>
    </row>
    <row r="82" spans="2:5" x14ac:dyDescent="0.35">
      <c r="B82" s="4" t="s">
        <v>78</v>
      </c>
      <c r="C82" s="5">
        <v>30280</v>
      </c>
      <c r="D82" s="5">
        <v>6077</v>
      </c>
      <c r="E82" s="2">
        <f t="shared" si="1"/>
        <v>0.83285199548917677</v>
      </c>
    </row>
    <row r="83" spans="2:5" x14ac:dyDescent="0.35">
      <c r="B83" s="4" t="s">
        <v>79</v>
      </c>
      <c r="C83" s="5">
        <v>14255</v>
      </c>
      <c r="D83" s="5">
        <v>2687</v>
      </c>
      <c r="E83" s="2">
        <f t="shared" si="1"/>
        <v>0.84140007082989021</v>
      </c>
    </row>
    <row r="84" spans="2:5" x14ac:dyDescent="0.35">
      <c r="B84" s="4" t="s">
        <v>80</v>
      </c>
      <c r="C84" s="5">
        <v>22758</v>
      </c>
      <c r="D84" s="5">
        <v>4586</v>
      </c>
      <c r="E84" s="2">
        <f t="shared" si="1"/>
        <v>0.83228496196606205</v>
      </c>
    </row>
    <row r="85" spans="2:5" x14ac:dyDescent="0.35">
      <c r="B85" s="4" t="s">
        <v>81</v>
      </c>
      <c r="C85" s="5">
        <v>29509</v>
      </c>
      <c r="D85" s="5">
        <v>6098</v>
      </c>
      <c r="E85" s="2">
        <f t="shared" si="1"/>
        <v>0.82874153958491303</v>
      </c>
    </row>
    <row r="86" spans="2:5" x14ac:dyDescent="0.35">
      <c r="B86" s="4" t="s">
        <v>82</v>
      </c>
      <c r="C86" s="5">
        <v>31342</v>
      </c>
      <c r="D86" s="5">
        <v>6474</v>
      </c>
      <c r="E86" s="2">
        <f t="shared" si="1"/>
        <v>0.82880262322826315</v>
      </c>
    </row>
    <row r="87" spans="2:5" x14ac:dyDescent="0.35">
      <c r="B87" s="4" t="s">
        <v>83</v>
      </c>
      <c r="C87" s="5">
        <v>43624</v>
      </c>
      <c r="D87" s="5">
        <v>9759</v>
      </c>
      <c r="E87" s="2">
        <f t="shared" si="1"/>
        <v>0.81718899275050105</v>
      </c>
    </row>
    <row r="88" spans="2:5" x14ac:dyDescent="0.35">
      <c r="B88" s="4" t="s">
        <v>84</v>
      </c>
      <c r="C88" s="5">
        <v>39806</v>
      </c>
      <c r="D88" s="5">
        <v>13233</v>
      </c>
      <c r="E88" s="2">
        <f t="shared" si="1"/>
        <v>0.75050434585870773</v>
      </c>
    </row>
    <row r="89" spans="2:5" x14ac:dyDescent="0.35">
      <c r="B89" s="4" t="s">
        <v>85</v>
      </c>
      <c r="C89" s="5">
        <v>15498</v>
      </c>
      <c r="D89" s="5">
        <v>3028</v>
      </c>
      <c r="E89" s="2">
        <f t="shared" si="1"/>
        <v>0.83655403217100288</v>
      </c>
    </row>
    <row r="90" spans="2:5" x14ac:dyDescent="0.35">
      <c r="B90" s="4" t="s">
        <v>86</v>
      </c>
      <c r="C90" s="5">
        <v>43747</v>
      </c>
      <c r="D90" s="5">
        <v>12776</v>
      </c>
      <c r="E90" s="2">
        <f t="shared" si="1"/>
        <v>0.77396811917272612</v>
      </c>
    </row>
    <row r="91" spans="2:5" x14ac:dyDescent="0.35">
      <c r="B91" s="4" t="s">
        <v>87</v>
      </c>
      <c r="C91" s="5">
        <v>16291</v>
      </c>
      <c r="D91" s="5">
        <v>3861</v>
      </c>
      <c r="E91" s="2">
        <f t="shared" si="1"/>
        <v>0.80840611353711789</v>
      </c>
    </row>
    <row r="92" spans="2:5" x14ac:dyDescent="0.35">
      <c r="B92" s="4"/>
      <c r="C92" s="6">
        <f>SUM(C81:C91)</f>
        <v>336714</v>
      </c>
      <c r="D92" s="6">
        <f>SUM(D81:D91)</f>
        <v>81355</v>
      </c>
      <c r="E92" s="7">
        <f t="shared" si="1"/>
        <v>0.80540293587900558</v>
      </c>
    </row>
    <row r="93" spans="2:5" x14ac:dyDescent="0.35">
      <c r="B93" s="4" t="s">
        <v>88</v>
      </c>
      <c r="C93" s="5">
        <v>82342</v>
      </c>
      <c r="D93" s="5">
        <v>30241</v>
      </c>
      <c r="E93" s="2">
        <f t="shared" si="1"/>
        <v>0.73138928612667986</v>
      </c>
    </row>
    <row r="94" spans="2:5" x14ac:dyDescent="0.35">
      <c r="B94" s="4" t="s">
        <v>89</v>
      </c>
      <c r="C94" s="5">
        <v>19073</v>
      </c>
      <c r="D94" s="5">
        <v>5297</v>
      </c>
      <c r="E94" s="2">
        <f t="shared" si="1"/>
        <v>0.78264259335248254</v>
      </c>
    </row>
    <row r="95" spans="2:5" x14ac:dyDescent="0.35">
      <c r="B95" s="4" t="s">
        <v>90</v>
      </c>
      <c r="C95" s="5">
        <v>52414</v>
      </c>
      <c r="D95" s="5">
        <v>13829</v>
      </c>
      <c r="E95" s="2">
        <f t="shared" si="1"/>
        <v>0.79123831952055312</v>
      </c>
    </row>
    <row r="96" spans="2:5" x14ac:dyDescent="0.35">
      <c r="B96" s="4" t="s">
        <v>91</v>
      </c>
      <c r="C96" s="5">
        <v>72401</v>
      </c>
      <c r="D96" s="5">
        <v>26686</v>
      </c>
      <c r="E96" s="2">
        <f t="shared" si="1"/>
        <v>0.73068111861293605</v>
      </c>
    </row>
    <row r="97" spans="2:5" x14ac:dyDescent="0.35">
      <c r="B97" s="4" t="s">
        <v>92</v>
      </c>
      <c r="C97" s="5">
        <v>68967</v>
      </c>
      <c r="D97" s="5">
        <v>19709</v>
      </c>
      <c r="E97" s="2">
        <f t="shared" si="1"/>
        <v>0.7777414407505977</v>
      </c>
    </row>
    <row r="98" spans="2:5" x14ac:dyDescent="0.35">
      <c r="B98" s="4" t="s">
        <v>93</v>
      </c>
      <c r="C98" s="5">
        <v>45450</v>
      </c>
      <c r="D98" s="5">
        <v>11053</v>
      </c>
      <c r="E98" s="2">
        <f t="shared" si="1"/>
        <v>0.80438206820876768</v>
      </c>
    </row>
    <row r="99" spans="2:5" x14ac:dyDescent="0.35">
      <c r="B99" s="4" t="s">
        <v>94</v>
      </c>
      <c r="C99" s="5">
        <v>18819</v>
      </c>
      <c r="D99" s="5">
        <v>4992</v>
      </c>
      <c r="E99" s="2">
        <f t="shared" si="1"/>
        <v>0.7903489983621016</v>
      </c>
    </row>
    <row r="100" spans="2:5" x14ac:dyDescent="0.35">
      <c r="B100" s="4" t="s">
        <v>95</v>
      </c>
      <c r="C100" s="5">
        <v>34869</v>
      </c>
      <c r="D100" s="5">
        <v>9649</v>
      </c>
      <c r="E100" s="2">
        <f t="shared" si="1"/>
        <v>0.7832562109708433</v>
      </c>
    </row>
    <row r="101" spans="2:5" x14ac:dyDescent="0.35">
      <c r="B101" s="4" t="s">
        <v>96</v>
      </c>
      <c r="C101" s="5">
        <v>29598</v>
      </c>
      <c r="D101" s="5">
        <v>6898</v>
      </c>
      <c r="E101" s="2">
        <f t="shared" si="1"/>
        <v>0.81099298553266108</v>
      </c>
    </row>
    <row r="102" spans="2:5" x14ac:dyDescent="0.35">
      <c r="B102" s="4" t="s">
        <v>97</v>
      </c>
      <c r="C102" s="5">
        <v>39604</v>
      </c>
      <c r="D102" s="5">
        <v>10196</v>
      </c>
      <c r="E102" s="2">
        <f t="shared" si="1"/>
        <v>0.79526104417670684</v>
      </c>
    </row>
    <row r="103" spans="2:5" x14ac:dyDescent="0.35">
      <c r="B103" s="4" t="s">
        <v>98</v>
      </c>
      <c r="C103" s="5">
        <v>64096</v>
      </c>
      <c r="D103" s="5">
        <v>25115</v>
      </c>
      <c r="E103" s="2">
        <f t="shared" si="1"/>
        <v>0.71847642106915066</v>
      </c>
    </row>
    <row r="104" spans="2:5" x14ac:dyDescent="0.35">
      <c r="B104" s="4" t="s">
        <v>99</v>
      </c>
      <c r="C104" s="5">
        <v>63969</v>
      </c>
      <c r="D104" s="5">
        <v>28850</v>
      </c>
      <c r="E104" s="2">
        <f t="shared" si="1"/>
        <v>0.68918001702237686</v>
      </c>
    </row>
    <row r="105" spans="2:5" x14ac:dyDescent="0.35">
      <c r="B105" s="4" t="s">
        <v>100</v>
      </c>
      <c r="C105" s="5">
        <v>34002</v>
      </c>
      <c r="D105" s="5">
        <v>10163</v>
      </c>
      <c r="E105" s="2">
        <f t="shared" si="1"/>
        <v>0.76988565606249293</v>
      </c>
    </row>
    <row r="106" spans="2:5" x14ac:dyDescent="0.35">
      <c r="B106" s="4" t="s">
        <v>101</v>
      </c>
      <c r="C106" s="5">
        <v>46298</v>
      </c>
      <c r="D106" s="5">
        <v>41270</v>
      </c>
      <c r="E106" s="2">
        <f t="shared" si="1"/>
        <v>0.5287091174858396</v>
      </c>
    </row>
    <row r="107" spans="2:5" x14ac:dyDescent="0.35">
      <c r="B107" s="4"/>
      <c r="C107" s="6">
        <f>SUM(C93:C106)</f>
        <v>671902</v>
      </c>
      <c r="D107" s="6">
        <f>SUM(D93:D106)</f>
        <v>243948</v>
      </c>
      <c r="E107" s="7">
        <f t="shared" si="1"/>
        <v>0.73363760441120274</v>
      </c>
    </row>
    <row r="108" spans="2:5" x14ac:dyDescent="0.35">
      <c r="B108" s="4" t="s">
        <v>102</v>
      </c>
      <c r="C108" s="5">
        <v>26588</v>
      </c>
      <c r="D108" s="5">
        <v>4729</v>
      </c>
      <c r="E108" s="2">
        <f t="shared" si="1"/>
        <v>0.84899575310534214</v>
      </c>
    </row>
    <row r="109" spans="2:5" x14ac:dyDescent="0.35">
      <c r="B109" s="4" t="s">
        <v>103</v>
      </c>
      <c r="C109" s="5">
        <v>33412</v>
      </c>
      <c r="D109" s="5">
        <v>9198</v>
      </c>
      <c r="E109" s="2">
        <f t="shared" si="1"/>
        <v>0.7841351795353203</v>
      </c>
    </row>
    <row r="110" spans="2:5" x14ac:dyDescent="0.35">
      <c r="B110" s="4" t="s">
        <v>104</v>
      </c>
      <c r="C110" s="5">
        <v>40165</v>
      </c>
      <c r="D110" s="5">
        <v>8958</v>
      </c>
      <c r="E110" s="2">
        <f t="shared" si="1"/>
        <v>0.81764143069437945</v>
      </c>
    </row>
    <row r="111" spans="2:5" x14ac:dyDescent="0.35">
      <c r="B111" s="4" t="s">
        <v>105</v>
      </c>
      <c r="C111" s="5">
        <v>67227</v>
      </c>
      <c r="D111" s="5">
        <v>20011</v>
      </c>
      <c r="E111" s="2">
        <f t="shared" si="1"/>
        <v>0.77061601595634932</v>
      </c>
    </row>
    <row r="112" spans="2:5" x14ac:dyDescent="0.35">
      <c r="B112" s="4" t="s">
        <v>106</v>
      </c>
      <c r="C112" s="5">
        <v>26731</v>
      </c>
      <c r="D112" s="5">
        <v>6763</v>
      </c>
      <c r="E112" s="2">
        <f t="shared" si="1"/>
        <v>0.79808323878903686</v>
      </c>
    </row>
    <row r="113" spans="2:5" x14ac:dyDescent="0.35">
      <c r="B113" s="4" t="s">
        <v>107</v>
      </c>
      <c r="C113" s="5">
        <v>22253</v>
      </c>
      <c r="D113" s="5">
        <v>5561</v>
      </c>
      <c r="E113" s="2">
        <f t="shared" si="1"/>
        <v>0.80006471561084347</v>
      </c>
    </row>
    <row r="114" spans="2:5" x14ac:dyDescent="0.35">
      <c r="B114" s="4" t="s">
        <v>108</v>
      </c>
      <c r="C114" s="5">
        <v>34329</v>
      </c>
      <c r="D114" s="5">
        <v>10722</v>
      </c>
      <c r="E114" s="2">
        <f t="shared" si="1"/>
        <v>0.76200306319504563</v>
      </c>
    </row>
    <row r="115" spans="2:5" x14ac:dyDescent="0.35">
      <c r="B115" s="4" t="s">
        <v>109</v>
      </c>
      <c r="C115" s="5">
        <v>27884</v>
      </c>
      <c r="D115" s="5">
        <v>8325</v>
      </c>
      <c r="E115" s="2">
        <f t="shared" si="1"/>
        <v>0.77008478555055371</v>
      </c>
    </row>
    <row r="116" spans="2:5" x14ac:dyDescent="0.35">
      <c r="B116" s="4"/>
      <c r="C116" s="6">
        <f>SUM(C108:C115)</f>
        <v>278589</v>
      </c>
      <c r="D116" s="6">
        <f>SUM(D108:D115)</f>
        <v>74267</v>
      </c>
      <c r="E116" s="7">
        <f t="shared" si="1"/>
        <v>0.78952603895073348</v>
      </c>
    </row>
    <row r="117" spans="2:5" x14ac:dyDescent="0.35">
      <c r="B117" s="4" t="s">
        <v>110</v>
      </c>
      <c r="C117" s="5">
        <v>42941</v>
      </c>
      <c r="D117" s="5">
        <v>12187</v>
      </c>
      <c r="E117" s="2">
        <f t="shared" si="1"/>
        <v>0.77893266579596576</v>
      </c>
    </row>
    <row r="118" spans="2:5" x14ac:dyDescent="0.35">
      <c r="B118" s="4" t="s">
        <v>111</v>
      </c>
      <c r="C118" s="5">
        <v>42800</v>
      </c>
      <c r="D118" s="5">
        <v>15495</v>
      </c>
      <c r="E118" s="2">
        <f t="shared" si="1"/>
        <v>0.73419675786945704</v>
      </c>
    </row>
    <row r="119" spans="2:5" x14ac:dyDescent="0.35">
      <c r="B119" s="4" t="s">
        <v>112</v>
      </c>
      <c r="C119" s="5">
        <v>54438</v>
      </c>
      <c r="D119" s="5">
        <v>19569</v>
      </c>
      <c r="E119" s="2">
        <f t="shared" si="1"/>
        <v>0.73557906684502816</v>
      </c>
    </row>
    <row r="120" spans="2:5" x14ac:dyDescent="0.35">
      <c r="B120" s="4" t="s">
        <v>113</v>
      </c>
      <c r="C120" s="5">
        <v>39397</v>
      </c>
      <c r="D120" s="5">
        <v>13523</v>
      </c>
      <c r="E120" s="2">
        <f t="shared" si="1"/>
        <v>0.74446334089191235</v>
      </c>
    </row>
    <row r="121" spans="2:5" x14ac:dyDescent="0.35">
      <c r="B121" s="4" t="s">
        <v>114</v>
      </c>
      <c r="C121" s="5">
        <v>71735</v>
      </c>
      <c r="D121" s="5">
        <v>24560</v>
      </c>
      <c r="E121" s="2">
        <f t="shared" si="1"/>
        <v>0.74495041279401841</v>
      </c>
    </row>
    <row r="122" spans="2:5" x14ac:dyDescent="0.35">
      <c r="B122" s="4" t="s">
        <v>115</v>
      </c>
      <c r="C122" s="5">
        <v>76427</v>
      </c>
      <c r="D122" s="5">
        <v>29376</v>
      </c>
      <c r="E122" s="2">
        <f t="shared" si="1"/>
        <v>0.72235191818757505</v>
      </c>
    </row>
    <row r="123" spans="2:5" x14ac:dyDescent="0.35">
      <c r="B123" s="4" t="s">
        <v>116</v>
      </c>
      <c r="C123" s="5">
        <v>38907</v>
      </c>
      <c r="D123" s="5">
        <v>9677</v>
      </c>
      <c r="E123" s="2">
        <f t="shared" si="1"/>
        <v>0.80081919973653881</v>
      </c>
    </row>
    <row r="124" spans="2:5" x14ac:dyDescent="0.35">
      <c r="B124" s="4" t="s">
        <v>117</v>
      </c>
      <c r="C124" s="5">
        <v>0</v>
      </c>
      <c r="D124" s="5">
        <v>0</v>
      </c>
      <c r="E124" s="2"/>
    </row>
    <row r="125" spans="2:5" x14ac:dyDescent="0.35">
      <c r="C125" s="8">
        <f>SUM(C117:C124)</f>
        <v>366645</v>
      </c>
      <c r="D125" s="8">
        <f>SUM(D117:D124)</f>
        <v>124387</v>
      </c>
      <c r="E125" s="7">
        <f t="shared" si="1"/>
        <v>0.74668249727105362</v>
      </c>
    </row>
    <row r="128" spans="2:5" x14ac:dyDescent="0.35">
      <c r="C128">
        <f>C17+C31+C45+C50+C65+C80+C92+C107+C116+C125</f>
        <v>4211598</v>
      </c>
      <c r="D128">
        <f>D17+D31+D45+D50+D65+D80+D92+D107+D116+D125</f>
        <v>1819649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3F5F-9084-4A62-9720-71D201918FC8}">
  <dimension ref="A1:F101"/>
  <sheetViews>
    <sheetView workbookViewId="0">
      <selection activeCell="D74" sqref="D74"/>
    </sheetView>
  </sheetViews>
  <sheetFormatPr defaultRowHeight="14.5" x14ac:dyDescent="0.35"/>
  <cols>
    <col min="1" max="1" width="17.26953125" bestFit="1" customWidth="1"/>
    <col min="2" max="2" width="7.7265625" bestFit="1" customWidth="1"/>
    <col min="3" max="3" width="14.26953125" bestFit="1" customWidth="1"/>
    <col min="4" max="4" width="24.54296875" bestFit="1" customWidth="1"/>
    <col min="5" max="5" width="10" bestFit="1" customWidth="1"/>
    <col min="6" max="6" width="32.1796875" style="16" bestFit="1" customWidth="1"/>
    <col min="7" max="7" width="12" bestFit="1" customWidth="1"/>
  </cols>
  <sheetData>
    <row r="1" spans="1:6" x14ac:dyDescent="0.35">
      <c r="A1" s="9">
        <v>2026</v>
      </c>
    </row>
    <row r="2" spans="1:6" x14ac:dyDescent="0.35">
      <c r="A2" t="s">
        <v>118</v>
      </c>
      <c r="B2" t="s">
        <v>119</v>
      </c>
      <c r="C2" t="s">
        <v>120</v>
      </c>
      <c r="D2" t="s">
        <v>121</v>
      </c>
      <c r="F2" s="16" t="s">
        <v>234</v>
      </c>
    </row>
    <row r="3" spans="1:6" x14ac:dyDescent="0.35">
      <c r="A3" s="12" t="s">
        <v>122</v>
      </c>
      <c r="B3">
        <v>101</v>
      </c>
      <c r="C3">
        <v>723225</v>
      </c>
      <c r="D3">
        <v>131674351.7211979</v>
      </c>
      <c r="F3" s="16">
        <f>(C3*1000)-D3</f>
        <v>591550648.27880216</v>
      </c>
    </row>
    <row r="4" spans="1:6" x14ac:dyDescent="0.35">
      <c r="A4" s="12" t="s">
        <v>123</v>
      </c>
      <c r="B4">
        <v>147</v>
      </c>
      <c r="C4">
        <v>98906</v>
      </c>
      <c r="D4">
        <v>28811785.928539384</v>
      </c>
      <c r="F4" s="16">
        <f>(C4*1000)-D4</f>
        <v>70094214.07146062</v>
      </c>
    </row>
    <row r="5" spans="1:6" x14ac:dyDescent="0.35">
      <c r="A5" s="12" t="s">
        <v>124</v>
      </c>
      <c r="B5">
        <v>151</v>
      </c>
      <c r="C5">
        <v>58188</v>
      </c>
      <c r="D5">
        <v>11300298.917708183</v>
      </c>
      <c r="F5" s="16">
        <f>(C5*1000)-D5</f>
        <v>46887701.082291819</v>
      </c>
    </row>
    <row r="6" spans="1:6" x14ac:dyDescent="0.35">
      <c r="A6" s="12" t="s">
        <v>125</v>
      </c>
      <c r="B6">
        <v>153</v>
      </c>
      <c r="C6">
        <v>33879</v>
      </c>
      <c r="D6">
        <v>6168111.3839444183</v>
      </c>
      <c r="F6" s="16">
        <f t="shared" ref="F6:F69" si="0">(C6*1000)-D6</f>
        <v>27710888.616055582</v>
      </c>
    </row>
    <row r="7" spans="1:6" x14ac:dyDescent="0.35">
      <c r="A7" s="12" t="s">
        <v>126</v>
      </c>
      <c r="B7">
        <v>155</v>
      </c>
      <c r="C7">
        <v>19989</v>
      </c>
      <c r="D7">
        <v>4772970.7466841219</v>
      </c>
      <c r="F7" s="16">
        <f t="shared" si="0"/>
        <v>15216029.253315877</v>
      </c>
    </row>
    <row r="8" spans="1:6" x14ac:dyDescent="0.35">
      <c r="A8" s="12" t="s">
        <v>127</v>
      </c>
      <c r="B8">
        <v>157</v>
      </c>
      <c r="C8">
        <v>102017</v>
      </c>
      <c r="D8">
        <v>39102623.131395966</v>
      </c>
      <c r="F8" s="16">
        <f t="shared" si="0"/>
        <v>62914376.868604034</v>
      </c>
    </row>
    <row r="9" spans="1:6" x14ac:dyDescent="0.35">
      <c r="A9" s="12" t="s">
        <v>128</v>
      </c>
      <c r="B9">
        <v>159</v>
      </c>
      <c r="C9">
        <v>80065</v>
      </c>
      <c r="D9">
        <v>15548968.945106026</v>
      </c>
      <c r="F9" s="16">
        <f t="shared" si="0"/>
        <v>64516031.05489397</v>
      </c>
    </row>
    <row r="10" spans="1:6" x14ac:dyDescent="0.35">
      <c r="A10" s="12" t="s">
        <v>129</v>
      </c>
      <c r="B10">
        <v>161</v>
      </c>
      <c r="C10">
        <v>28640</v>
      </c>
      <c r="D10">
        <v>5214436.0102001512</v>
      </c>
      <c r="F10" s="16">
        <f t="shared" si="0"/>
        <v>23425563.98979985</v>
      </c>
    </row>
    <row r="11" spans="1:6" x14ac:dyDescent="0.35">
      <c r="A11" s="12" t="s">
        <v>130</v>
      </c>
      <c r="B11">
        <v>163</v>
      </c>
      <c r="C11">
        <v>36234</v>
      </c>
      <c r="D11">
        <v>6214861.4476639591</v>
      </c>
      <c r="F11" s="16">
        <f t="shared" si="0"/>
        <v>30019138.552336041</v>
      </c>
    </row>
    <row r="12" spans="1:6" x14ac:dyDescent="0.35">
      <c r="A12" s="12" t="s">
        <v>131</v>
      </c>
      <c r="B12">
        <v>165</v>
      </c>
      <c r="C12">
        <v>25163</v>
      </c>
      <c r="D12">
        <v>4581350.3964039497</v>
      </c>
      <c r="F12" s="16">
        <f t="shared" si="0"/>
        <v>20581649.60359605</v>
      </c>
    </row>
    <row r="13" spans="1:6" x14ac:dyDescent="0.35">
      <c r="A13" s="12" t="s">
        <v>132</v>
      </c>
      <c r="B13">
        <v>167</v>
      </c>
      <c r="C13">
        <v>56598</v>
      </c>
      <c r="D13">
        <v>11449410.603326401</v>
      </c>
      <c r="F13" s="16">
        <f t="shared" si="0"/>
        <v>45148589.396673597</v>
      </c>
    </row>
    <row r="14" spans="1:6" x14ac:dyDescent="0.35">
      <c r="A14" s="12" t="s">
        <v>133</v>
      </c>
      <c r="B14">
        <v>169</v>
      </c>
      <c r="C14">
        <v>56827</v>
      </c>
      <c r="D14">
        <v>10346221.543229062</v>
      </c>
      <c r="F14" s="16">
        <f t="shared" si="0"/>
        <v>46480778.456770942</v>
      </c>
    </row>
    <row r="15" spans="1:6" x14ac:dyDescent="0.35">
      <c r="A15" s="12" t="s">
        <v>134</v>
      </c>
      <c r="B15">
        <v>173</v>
      </c>
      <c r="C15">
        <v>83498</v>
      </c>
      <c r="D15">
        <v>20269568.900404666</v>
      </c>
      <c r="F15" s="16">
        <f t="shared" si="0"/>
        <v>63228431.099595338</v>
      </c>
    </row>
    <row r="16" spans="1:6" x14ac:dyDescent="0.35">
      <c r="A16" s="12" t="s">
        <v>135</v>
      </c>
      <c r="B16">
        <v>175</v>
      </c>
      <c r="C16">
        <v>44565</v>
      </c>
      <c r="D16">
        <v>9015339.849520456</v>
      </c>
      <c r="F16" s="16">
        <f t="shared" si="0"/>
        <v>35549660.15047954</v>
      </c>
    </row>
    <row r="17" spans="1:6" x14ac:dyDescent="0.35">
      <c r="A17" s="12" t="s">
        <v>136</v>
      </c>
      <c r="B17">
        <v>183</v>
      </c>
      <c r="C17">
        <v>20376</v>
      </c>
      <c r="D17">
        <v>3297498.4191000001</v>
      </c>
      <c r="F17" s="16">
        <f t="shared" si="0"/>
        <v>17078501.580899999</v>
      </c>
    </row>
    <row r="18" spans="1:6" x14ac:dyDescent="0.35">
      <c r="A18" s="12" t="s">
        <v>137</v>
      </c>
      <c r="B18">
        <v>185</v>
      </c>
      <c r="C18">
        <v>43972</v>
      </c>
      <c r="D18">
        <v>10499418.779793888</v>
      </c>
      <c r="F18" s="16">
        <f t="shared" si="0"/>
        <v>33472581.220206112</v>
      </c>
    </row>
    <row r="19" spans="1:6" x14ac:dyDescent="0.35">
      <c r="A19" s="12" t="s">
        <v>138</v>
      </c>
      <c r="B19">
        <v>187</v>
      </c>
      <c r="C19">
        <v>19764</v>
      </c>
      <c r="D19">
        <v>3598277.9906613175</v>
      </c>
      <c r="F19" s="16">
        <f t="shared" si="0"/>
        <v>16165722.009338683</v>
      </c>
    </row>
    <row r="20" spans="1:6" x14ac:dyDescent="0.35">
      <c r="A20" s="12" t="s">
        <v>139</v>
      </c>
      <c r="B20">
        <v>190</v>
      </c>
      <c r="C20">
        <v>60679</v>
      </c>
      <c r="D20">
        <v>12625794.38417951</v>
      </c>
      <c r="F20" s="16">
        <f t="shared" si="0"/>
        <v>48053205.61582049</v>
      </c>
    </row>
    <row r="21" spans="1:6" x14ac:dyDescent="0.35">
      <c r="A21" s="12" t="s">
        <v>140</v>
      </c>
      <c r="B21">
        <v>201</v>
      </c>
      <c r="C21">
        <v>33439</v>
      </c>
      <c r="D21">
        <v>8397265.176207589</v>
      </c>
      <c r="F21" s="16">
        <f t="shared" si="0"/>
        <v>25041734.823792413</v>
      </c>
    </row>
    <row r="22" spans="1:6" x14ac:dyDescent="0.35">
      <c r="A22" s="12" t="s">
        <v>141</v>
      </c>
      <c r="B22">
        <v>210</v>
      </c>
      <c r="C22">
        <v>48328</v>
      </c>
      <c r="D22">
        <v>10998477.93119969</v>
      </c>
      <c r="F22" s="16">
        <f t="shared" si="0"/>
        <v>37329522.068800308</v>
      </c>
    </row>
    <row r="23" spans="1:6" x14ac:dyDescent="0.35">
      <c r="A23" s="12" t="s">
        <v>142</v>
      </c>
      <c r="B23">
        <v>217</v>
      </c>
      <c r="C23">
        <v>71702</v>
      </c>
      <c r="D23">
        <v>16577161.56376276</v>
      </c>
      <c r="F23" s="16">
        <f t="shared" si="0"/>
        <v>55124838.436237238</v>
      </c>
    </row>
    <row r="24" spans="1:6" x14ac:dyDescent="0.35">
      <c r="A24" s="9" t="s">
        <v>143</v>
      </c>
      <c r="B24" s="10">
        <v>219</v>
      </c>
      <c r="C24" s="10">
        <v>69617</v>
      </c>
      <c r="D24" s="10">
        <v>14695557.798122071</v>
      </c>
      <c r="F24" s="16">
        <f t="shared" si="0"/>
        <v>54921442.201877929</v>
      </c>
    </row>
    <row r="25" spans="1:6" x14ac:dyDescent="0.35">
      <c r="A25" s="12" t="s">
        <v>144</v>
      </c>
      <c r="B25">
        <v>223</v>
      </c>
      <c r="C25">
        <v>41124</v>
      </c>
      <c r="D25">
        <v>9661063.7255497165</v>
      </c>
      <c r="F25" s="16">
        <f t="shared" si="0"/>
        <v>31462936.274450283</v>
      </c>
    </row>
    <row r="26" spans="1:6" x14ac:dyDescent="0.35">
      <c r="A26" s="12" t="s">
        <v>145</v>
      </c>
      <c r="B26">
        <v>230</v>
      </c>
      <c r="C26">
        <v>89475</v>
      </c>
      <c r="D26">
        <v>22863491.750766546</v>
      </c>
      <c r="F26" s="16">
        <f t="shared" si="0"/>
        <v>66611508.249233454</v>
      </c>
    </row>
    <row r="27" spans="1:6" x14ac:dyDescent="0.35">
      <c r="A27" s="9" t="s">
        <v>146</v>
      </c>
      <c r="B27" s="10">
        <v>240</v>
      </c>
      <c r="C27" s="10">
        <v>65137</v>
      </c>
      <c r="D27" s="10">
        <v>12483451.167455731</v>
      </c>
      <c r="F27" s="16">
        <f t="shared" si="0"/>
        <v>52653548.832544267</v>
      </c>
    </row>
    <row r="28" spans="1:6" x14ac:dyDescent="0.35">
      <c r="A28" s="9" t="s">
        <v>147</v>
      </c>
      <c r="B28" s="10">
        <v>250</v>
      </c>
      <c r="C28" s="10">
        <v>81239</v>
      </c>
      <c r="D28" s="10">
        <v>12325678.987745343</v>
      </c>
      <c r="F28" s="16">
        <f t="shared" si="0"/>
        <v>68913321.012254655</v>
      </c>
    </row>
    <row r="29" spans="1:6" x14ac:dyDescent="0.35">
      <c r="A29" s="12" t="s">
        <v>148</v>
      </c>
      <c r="B29">
        <v>253</v>
      </c>
      <c r="C29">
        <v>72907</v>
      </c>
      <c r="D29">
        <v>13109922.70394407</v>
      </c>
      <c r="F29" s="16">
        <f t="shared" si="0"/>
        <v>59797077.296055928</v>
      </c>
    </row>
    <row r="30" spans="1:6" x14ac:dyDescent="0.35">
      <c r="A30" s="12" t="s">
        <v>149</v>
      </c>
      <c r="B30">
        <v>259</v>
      </c>
      <c r="C30">
        <v>95181</v>
      </c>
      <c r="D30">
        <v>15934824.106967321</v>
      </c>
      <c r="F30" s="16">
        <f t="shared" si="0"/>
        <v>79246175.893032685</v>
      </c>
    </row>
    <row r="31" spans="1:6" x14ac:dyDescent="0.35">
      <c r="A31" s="12" t="s">
        <v>150</v>
      </c>
      <c r="B31">
        <v>260</v>
      </c>
      <c r="C31">
        <v>45161</v>
      </c>
      <c r="D31">
        <v>7738570.9503816981</v>
      </c>
      <c r="F31" s="16">
        <f t="shared" si="0"/>
        <v>37422429.049618304</v>
      </c>
    </row>
    <row r="32" spans="1:6" x14ac:dyDescent="0.35">
      <c r="A32" s="12" t="s">
        <v>151</v>
      </c>
      <c r="B32">
        <v>265</v>
      </c>
      <c r="C32">
        <v>144899</v>
      </c>
      <c r="D32">
        <v>25124811.427915603</v>
      </c>
      <c r="F32" s="16">
        <f t="shared" si="0"/>
        <v>119774188.5720844</v>
      </c>
    </row>
    <row r="33" spans="1:6" x14ac:dyDescent="0.35">
      <c r="A33" s="12" t="s">
        <v>152</v>
      </c>
      <c r="B33">
        <v>269</v>
      </c>
      <c r="C33">
        <v>40099</v>
      </c>
      <c r="D33">
        <v>6953055.6883803364</v>
      </c>
      <c r="F33" s="16">
        <f t="shared" si="0"/>
        <v>33145944.311619662</v>
      </c>
    </row>
    <row r="34" spans="1:6" x14ac:dyDescent="0.35">
      <c r="A34" s="12" t="s">
        <v>153</v>
      </c>
      <c r="B34">
        <v>270</v>
      </c>
      <c r="C34">
        <v>63761</v>
      </c>
      <c r="D34">
        <v>10925902.233314617</v>
      </c>
      <c r="F34" s="16">
        <f t="shared" si="0"/>
        <v>52835097.766685382</v>
      </c>
    </row>
    <row r="35" spans="1:6" x14ac:dyDescent="0.35">
      <c r="A35" s="12" t="s">
        <v>154</v>
      </c>
      <c r="B35">
        <v>306</v>
      </c>
      <c r="C35">
        <v>54318</v>
      </c>
      <c r="D35">
        <v>8073071.9748898577</v>
      </c>
      <c r="F35" s="16">
        <f t="shared" si="0"/>
        <v>46244928.02511014</v>
      </c>
    </row>
    <row r="36" spans="1:6" x14ac:dyDescent="0.35">
      <c r="A36" s="12" t="s">
        <v>155</v>
      </c>
      <c r="B36">
        <v>316</v>
      </c>
      <c r="C36">
        <v>123135</v>
      </c>
      <c r="D36">
        <v>18682274.824933197</v>
      </c>
      <c r="F36" s="16">
        <f t="shared" si="0"/>
        <v>104452725.1750668</v>
      </c>
    </row>
    <row r="37" spans="1:6" x14ac:dyDescent="0.35">
      <c r="A37" s="12" t="s">
        <v>156</v>
      </c>
      <c r="B37">
        <v>320</v>
      </c>
      <c r="C37">
        <v>68349</v>
      </c>
      <c r="D37">
        <v>9217785.08915364</v>
      </c>
      <c r="F37" s="16">
        <f t="shared" si="0"/>
        <v>59131214.91084636</v>
      </c>
    </row>
    <row r="38" spans="1:6" x14ac:dyDescent="0.35">
      <c r="A38" s="12" t="s">
        <v>157</v>
      </c>
      <c r="B38">
        <v>326</v>
      </c>
      <c r="C38">
        <v>87735</v>
      </c>
      <c r="D38">
        <v>12652262.345606171</v>
      </c>
      <c r="F38" s="16">
        <f t="shared" si="0"/>
        <v>75082737.654393822</v>
      </c>
    </row>
    <row r="39" spans="1:6" x14ac:dyDescent="0.35">
      <c r="A39" s="12" t="s">
        <v>158</v>
      </c>
      <c r="B39">
        <v>329</v>
      </c>
      <c r="C39">
        <v>55564</v>
      </c>
      <c r="D39">
        <v>8519053.9205753822</v>
      </c>
      <c r="F39" s="16">
        <f t="shared" si="0"/>
        <v>47044946.07942462</v>
      </c>
    </row>
    <row r="40" spans="1:6" x14ac:dyDescent="0.35">
      <c r="A40" s="12" t="s">
        <v>159</v>
      </c>
      <c r="B40">
        <v>330</v>
      </c>
      <c r="C40">
        <v>126264</v>
      </c>
      <c r="D40">
        <v>19156945.931757886</v>
      </c>
      <c r="F40" s="16">
        <f t="shared" si="0"/>
        <v>107107054.06824212</v>
      </c>
    </row>
    <row r="41" spans="1:6" x14ac:dyDescent="0.35">
      <c r="A41" s="12" t="s">
        <v>160</v>
      </c>
      <c r="B41">
        <v>336</v>
      </c>
      <c r="C41">
        <v>45602</v>
      </c>
      <c r="D41">
        <v>6038209.7986594737</v>
      </c>
      <c r="F41" s="16">
        <f t="shared" si="0"/>
        <v>39563790.201340526</v>
      </c>
    </row>
    <row r="42" spans="1:6" x14ac:dyDescent="0.35">
      <c r="A42" s="12" t="s">
        <v>161</v>
      </c>
      <c r="B42">
        <v>340</v>
      </c>
      <c r="C42">
        <v>52043</v>
      </c>
      <c r="D42">
        <v>7979113.0422642604</v>
      </c>
      <c r="F42" s="16">
        <f t="shared" si="0"/>
        <v>44063886.95773574</v>
      </c>
    </row>
    <row r="43" spans="1:6" x14ac:dyDescent="0.35">
      <c r="A43" s="12" t="s">
        <v>162</v>
      </c>
      <c r="B43">
        <v>350</v>
      </c>
      <c r="C43">
        <v>54344</v>
      </c>
      <c r="D43">
        <v>7538437.2149739219</v>
      </c>
      <c r="F43" s="16">
        <f t="shared" si="0"/>
        <v>46805562.785026081</v>
      </c>
    </row>
    <row r="44" spans="1:6" x14ac:dyDescent="0.35">
      <c r="A44" s="12" t="s">
        <v>163</v>
      </c>
      <c r="B44">
        <v>360</v>
      </c>
      <c r="C44">
        <v>78016</v>
      </c>
      <c r="D44">
        <v>9238342.4745584317</v>
      </c>
      <c r="F44" s="16">
        <f t="shared" si="0"/>
        <v>68777657.525441572</v>
      </c>
    </row>
    <row r="45" spans="1:6" x14ac:dyDescent="0.35">
      <c r="A45" s="12" t="s">
        <v>164</v>
      </c>
      <c r="B45">
        <v>370</v>
      </c>
      <c r="C45">
        <v>141923</v>
      </c>
      <c r="D45">
        <v>21093347.058437195</v>
      </c>
      <c r="F45" s="16">
        <f t="shared" si="0"/>
        <v>120829652.9415628</v>
      </c>
    </row>
    <row r="46" spans="1:6" x14ac:dyDescent="0.35">
      <c r="A46" s="12" t="s">
        <v>165</v>
      </c>
      <c r="B46">
        <v>376</v>
      </c>
      <c r="C46">
        <v>112924</v>
      </c>
      <c r="D46">
        <v>14178979.571213303</v>
      </c>
      <c r="F46" s="16">
        <f t="shared" si="0"/>
        <v>98745020.428786695</v>
      </c>
    </row>
    <row r="47" spans="1:6" x14ac:dyDescent="0.35">
      <c r="A47" s="12" t="s">
        <v>166</v>
      </c>
      <c r="B47">
        <v>390</v>
      </c>
      <c r="C47">
        <v>76269</v>
      </c>
      <c r="D47">
        <v>10890916.517187148</v>
      </c>
      <c r="F47" s="16">
        <f t="shared" si="0"/>
        <v>65378083.482812852</v>
      </c>
    </row>
    <row r="48" spans="1:6" x14ac:dyDescent="0.35">
      <c r="A48" t="s">
        <v>167</v>
      </c>
      <c r="B48">
        <v>400</v>
      </c>
      <c r="C48">
        <v>58231</v>
      </c>
      <c r="D48">
        <v>9119862.953631172</v>
      </c>
      <c r="F48" s="16">
        <f t="shared" si="0"/>
        <v>49111137.04636883</v>
      </c>
    </row>
    <row r="49" spans="1:6" x14ac:dyDescent="0.35">
      <c r="A49" s="12" t="s">
        <v>168</v>
      </c>
      <c r="B49">
        <v>410</v>
      </c>
      <c r="C49">
        <v>69385</v>
      </c>
      <c r="D49">
        <v>11228914.656783652</v>
      </c>
      <c r="F49" s="16">
        <f t="shared" si="0"/>
        <v>58156085.343216345</v>
      </c>
    </row>
    <row r="50" spans="1:6" x14ac:dyDescent="0.35">
      <c r="A50" s="12" t="s">
        <v>169</v>
      </c>
      <c r="B50">
        <v>420</v>
      </c>
      <c r="C50">
        <v>69541</v>
      </c>
      <c r="D50">
        <v>10335569.980279846</v>
      </c>
      <c r="F50" s="16">
        <f t="shared" si="0"/>
        <v>59205430.019720152</v>
      </c>
    </row>
    <row r="51" spans="1:6" x14ac:dyDescent="0.35">
      <c r="A51" s="12" t="s">
        <v>170</v>
      </c>
      <c r="B51">
        <v>430</v>
      </c>
      <c r="C51">
        <v>89216</v>
      </c>
      <c r="D51">
        <v>12375741.187954219</v>
      </c>
      <c r="F51" s="16">
        <f t="shared" si="0"/>
        <v>76840258.812045783</v>
      </c>
    </row>
    <row r="52" spans="1:6" x14ac:dyDescent="0.35">
      <c r="A52" s="12" t="s">
        <v>171</v>
      </c>
      <c r="B52">
        <v>440</v>
      </c>
      <c r="C52">
        <v>40976</v>
      </c>
      <c r="D52">
        <v>6090015.458577116</v>
      </c>
      <c r="F52" s="16">
        <f t="shared" si="0"/>
        <v>34885984.541422881</v>
      </c>
    </row>
    <row r="53" spans="1:6" x14ac:dyDescent="0.35">
      <c r="A53" s="12" t="s">
        <v>172</v>
      </c>
      <c r="B53">
        <v>450</v>
      </c>
      <c r="C53">
        <v>54267</v>
      </c>
      <c r="D53">
        <v>7904112.23125045</v>
      </c>
      <c r="F53" s="16">
        <f t="shared" si="0"/>
        <v>46362887.76874955</v>
      </c>
    </row>
    <row r="54" spans="1:6" x14ac:dyDescent="0.35">
      <c r="A54" s="12" t="s">
        <v>173</v>
      </c>
      <c r="B54">
        <v>461</v>
      </c>
      <c r="C54">
        <v>221617</v>
      </c>
      <c r="D54">
        <v>47469141.077484868</v>
      </c>
      <c r="F54" s="16">
        <f t="shared" si="0"/>
        <v>174147858.92251512</v>
      </c>
    </row>
    <row r="55" spans="1:6" x14ac:dyDescent="0.35">
      <c r="A55" s="12" t="s">
        <v>174</v>
      </c>
      <c r="B55">
        <v>479</v>
      </c>
      <c r="C55">
        <v>98126</v>
      </c>
      <c r="D55">
        <v>14011987.592040515</v>
      </c>
      <c r="F55" s="16">
        <f t="shared" si="0"/>
        <v>84114012.407959491</v>
      </c>
    </row>
    <row r="56" spans="1:6" x14ac:dyDescent="0.35">
      <c r="A56" s="12" t="s">
        <v>175</v>
      </c>
      <c r="B56">
        <v>480</v>
      </c>
      <c r="C56">
        <v>53215</v>
      </c>
      <c r="D56">
        <v>7452797.9497305099</v>
      </c>
      <c r="F56" s="16">
        <f t="shared" si="0"/>
        <v>45762202.050269492</v>
      </c>
    </row>
    <row r="57" spans="1:6" x14ac:dyDescent="0.35">
      <c r="A57" s="12" t="s">
        <v>176</v>
      </c>
      <c r="B57">
        <v>482</v>
      </c>
      <c r="C57">
        <v>23229</v>
      </c>
      <c r="D57">
        <v>2967882.5774349514</v>
      </c>
      <c r="F57" s="16">
        <f t="shared" si="0"/>
        <v>20261117.42256505</v>
      </c>
    </row>
    <row r="58" spans="1:6" x14ac:dyDescent="0.35">
      <c r="A58" s="12" t="s">
        <v>177</v>
      </c>
      <c r="B58">
        <v>492</v>
      </c>
      <c r="C58">
        <v>9934</v>
      </c>
      <c r="D58">
        <v>1352317.363327587</v>
      </c>
      <c r="F58" s="16">
        <f t="shared" si="0"/>
        <v>8581682.636672413</v>
      </c>
    </row>
    <row r="59" spans="1:6" x14ac:dyDescent="0.35">
      <c r="A59" s="12" t="s">
        <v>178</v>
      </c>
      <c r="B59">
        <v>510</v>
      </c>
      <c r="C59">
        <v>90946</v>
      </c>
      <c r="D59">
        <v>13943759.619494345</v>
      </c>
      <c r="F59" s="16">
        <f t="shared" si="0"/>
        <v>77002240.380505651</v>
      </c>
    </row>
    <row r="60" spans="1:6" x14ac:dyDescent="0.35">
      <c r="A60" s="12" t="s">
        <v>179</v>
      </c>
      <c r="B60">
        <v>530</v>
      </c>
      <c r="C60">
        <v>42429</v>
      </c>
      <c r="D60">
        <v>6943674.2147093536</v>
      </c>
      <c r="F60" s="16">
        <f t="shared" si="0"/>
        <v>35485325.785290644</v>
      </c>
    </row>
    <row r="61" spans="1:6" x14ac:dyDescent="0.35">
      <c r="A61" s="12" t="s">
        <v>180</v>
      </c>
      <c r="B61">
        <v>540</v>
      </c>
      <c r="C61">
        <v>115332</v>
      </c>
      <c r="D61">
        <v>18459698.961544905</v>
      </c>
      <c r="F61" s="16">
        <f t="shared" si="0"/>
        <v>96872301.038455099</v>
      </c>
    </row>
    <row r="62" spans="1:6" x14ac:dyDescent="0.35">
      <c r="A62" s="12" t="s">
        <v>181</v>
      </c>
      <c r="B62">
        <v>550</v>
      </c>
      <c r="C62">
        <v>70750</v>
      </c>
      <c r="D62">
        <v>8883530.2172693592</v>
      </c>
      <c r="F62" s="16">
        <f t="shared" si="0"/>
        <v>61866469.782730639</v>
      </c>
    </row>
    <row r="63" spans="1:6" x14ac:dyDescent="0.35">
      <c r="A63" s="12" t="s">
        <v>182</v>
      </c>
      <c r="B63">
        <v>561</v>
      </c>
      <c r="C63">
        <v>169131</v>
      </c>
      <c r="D63">
        <v>30412682.485397801</v>
      </c>
      <c r="F63" s="16">
        <f t="shared" si="0"/>
        <v>138718317.51460218</v>
      </c>
    </row>
    <row r="64" spans="1:6" x14ac:dyDescent="0.35">
      <c r="A64" s="12" t="s">
        <v>183</v>
      </c>
      <c r="B64">
        <v>563</v>
      </c>
      <c r="C64">
        <v>7230</v>
      </c>
      <c r="D64">
        <v>923819.53655938664</v>
      </c>
      <c r="F64" s="16">
        <f t="shared" si="0"/>
        <v>6306180.4634406138</v>
      </c>
    </row>
    <row r="65" spans="1:6" x14ac:dyDescent="0.35">
      <c r="A65" s="12" t="s">
        <v>184</v>
      </c>
      <c r="B65">
        <v>573</v>
      </c>
      <c r="C65">
        <v>84508</v>
      </c>
      <c r="D65">
        <v>12956617.684573524</v>
      </c>
      <c r="F65" s="16">
        <f t="shared" si="0"/>
        <v>71551382.315426469</v>
      </c>
    </row>
    <row r="66" spans="1:6" x14ac:dyDescent="0.35">
      <c r="A66" s="12" t="s">
        <v>185</v>
      </c>
      <c r="B66">
        <v>575</v>
      </c>
      <c r="C66">
        <v>80104</v>
      </c>
      <c r="D66">
        <v>11006934.511875629</v>
      </c>
      <c r="F66" s="16">
        <f t="shared" si="0"/>
        <v>69097065.488124371</v>
      </c>
    </row>
    <row r="67" spans="1:6" x14ac:dyDescent="0.35">
      <c r="A67" s="12" t="s">
        <v>186</v>
      </c>
      <c r="B67">
        <v>580</v>
      </c>
      <c r="C67">
        <v>90602</v>
      </c>
      <c r="D67">
        <v>13891020.327435249</v>
      </c>
      <c r="F67" s="16">
        <f t="shared" si="0"/>
        <v>76710979.672564745</v>
      </c>
    </row>
    <row r="68" spans="1:6" x14ac:dyDescent="0.35">
      <c r="A68" s="12" t="s">
        <v>187</v>
      </c>
      <c r="B68">
        <v>607</v>
      </c>
      <c r="C68">
        <v>80786</v>
      </c>
      <c r="D68">
        <v>13371252.312086884</v>
      </c>
      <c r="F68" s="16">
        <f t="shared" si="0"/>
        <v>67414747.68791312</v>
      </c>
    </row>
    <row r="69" spans="1:6" x14ac:dyDescent="0.35">
      <c r="A69" s="12" t="s">
        <v>188</v>
      </c>
      <c r="B69">
        <v>615</v>
      </c>
      <c r="C69">
        <v>125480</v>
      </c>
      <c r="D69">
        <v>23134798.55106061</v>
      </c>
      <c r="F69" s="16">
        <f t="shared" si="0"/>
        <v>102345201.44893938</v>
      </c>
    </row>
    <row r="70" spans="1:6" x14ac:dyDescent="0.35">
      <c r="A70" s="12" t="s">
        <v>189</v>
      </c>
      <c r="B70">
        <v>621</v>
      </c>
      <c r="C70">
        <v>150904</v>
      </c>
      <c r="D70">
        <v>23890841.041794728</v>
      </c>
      <c r="F70" s="16">
        <f t="shared" ref="F70:F100" si="1">(C70*1000)-D70</f>
        <v>127013158.95820527</v>
      </c>
    </row>
    <row r="71" spans="1:6" x14ac:dyDescent="0.35">
      <c r="A71" s="12" t="s">
        <v>190</v>
      </c>
      <c r="B71">
        <v>630</v>
      </c>
      <c r="C71">
        <v>188843</v>
      </c>
      <c r="D71">
        <v>30904941.12437233</v>
      </c>
      <c r="F71" s="16">
        <f t="shared" si="1"/>
        <v>157938058.87562767</v>
      </c>
    </row>
    <row r="72" spans="1:6" x14ac:dyDescent="0.35">
      <c r="A72" s="12" t="s">
        <v>191</v>
      </c>
      <c r="B72">
        <v>657</v>
      </c>
      <c r="C72">
        <v>150969</v>
      </c>
      <c r="D72">
        <v>22211056.210294515</v>
      </c>
      <c r="F72" s="16">
        <f t="shared" si="1"/>
        <v>128757943.78970549</v>
      </c>
    </row>
    <row r="73" spans="1:6" x14ac:dyDescent="0.35">
      <c r="A73" s="12" t="s">
        <v>192</v>
      </c>
      <c r="B73">
        <v>661</v>
      </c>
      <c r="C73">
        <v>109492</v>
      </c>
      <c r="D73">
        <v>14766475.971238075</v>
      </c>
      <c r="F73" s="16">
        <f t="shared" si="1"/>
        <v>94725524.028761923</v>
      </c>
    </row>
    <row r="74" spans="1:6" x14ac:dyDescent="0.35">
      <c r="A74" s="12" t="s">
        <v>193</v>
      </c>
      <c r="B74">
        <v>665</v>
      </c>
      <c r="C74">
        <v>45356</v>
      </c>
      <c r="D74">
        <v>5201767.1609546589</v>
      </c>
      <c r="F74" s="16">
        <f t="shared" si="1"/>
        <v>40154232.839045338</v>
      </c>
    </row>
    <row r="75" spans="1:6" x14ac:dyDescent="0.35">
      <c r="A75" s="12" t="s">
        <v>194</v>
      </c>
      <c r="B75">
        <v>671</v>
      </c>
      <c r="C75">
        <v>42628</v>
      </c>
      <c r="D75">
        <v>5174033.4798229719</v>
      </c>
      <c r="F75" s="16">
        <f t="shared" si="1"/>
        <v>37453966.520177029</v>
      </c>
    </row>
    <row r="76" spans="1:6" x14ac:dyDescent="0.35">
      <c r="A76" s="12" t="s">
        <v>195</v>
      </c>
      <c r="B76">
        <v>706</v>
      </c>
      <c r="C76">
        <v>74567</v>
      </c>
      <c r="D76">
        <v>11082491.715210868</v>
      </c>
      <c r="F76" s="16">
        <f t="shared" si="1"/>
        <v>63484508.28478913</v>
      </c>
    </row>
    <row r="77" spans="1:6" x14ac:dyDescent="0.35">
      <c r="A77" s="12" t="s">
        <v>196</v>
      </c>
      <c r="B77">
        <v>707</v>
      </c>
      <c r="C77">
        <v>61840</v>
      </c>
      <c r="D77">
        <v>9007197.8781152721</v>
      </c>
      <c r="F77" s="16">
        <f t="shared" si="1"/>
        <v>52832802.121884726</v>
      </c>
    </row>
    <row r="78" spans="1:6" x14ac:dyDescent="0.35">
      <c r="A78" s="12" t="s">
        <v>197</v>
      </c>
      <c r="B78">
        <v>710</v>
      </c>
      <c r="C78">
        <v>85171</v>
      </c>
      <c r="D78">
        <v>12922303.426195212</v>
      </c>
      <c r="F78" s="16">
        <f t="shared" si="1"/>
        <v>72248696.573804796</v>
      </c>
    </row>
    <row r="79" spans="1:6" x14ac:dyDescent="0.35">
      <c r="A79" s="12" t="s">
        <v>198</v>
      </c>
      <c r="B79">
        <v>727</v>
      </c>
      <c r="C79">
        <v>39736</v>
      </c>
      <c r="D79">
        <v>6092187.1364599662</v>
      </c>
      <c r="F79" s="16">
        <f t="shared" si="1"/>
        <v>33643812.863540031</v>
      </c>
    </row>
    <row r="80" spans="1:6" x14ac:dyDescent="0.35">
      <c r="A80" s="12" t="s">
        <v>199</v>
      </c>
      <c r="B80">
        <v>730</v>
      </c>
      <c r="C80">
        <v>150119</v>
      </c>
      <c r="D80">
        <v>24567670.452945478</v>
      </c>
      <c r="F80" s="16">
        <f t="shared" si="1"/>
        <v>125551329.54705453</v>
      </c>
    </row>
    <row r="81" spans="1:6" x14ac:dyDescent="0.35">
      <c r="A81" s="12" t="s">
        <v>200</v>
      </c>
      <c r="B81">
        <v>740</v>
      </c>
      <c r="C81">
        <v>167816</v>
      </c>
      <c r="D81">
        <v>26002925.228751425</v>
      </c>
      <c r="F81" s="16">
        <f t="shared" si="1"/>
        <v>141813074.77124858</v>
      </c>
    </row>
    <row r="82" spans="1:6" x14ac:dyDescent="0.35">
      <c r="A82" s="12" t="s">
        <v>201</v>
      </c>
      <c r="B82">
        <v>741</v>
      </c>
      <c r="C82">
        <v>6900</v>
      </c>
      <c r="D82">
        <v>837539.40057925158</v>
      </c>
      <c r="F82" s="16">
        <f t="shared" si="1"/>
        <v>6062460.5994207487</v>
      </c>
    </row>
    <row r="83" spans="1:6" x14ac:dyDescent="0.35">
      <c r="A83" s="12" t="s">
        <v>202</v>
      </c>
      <c r="B83">
        <v>746</v>
      </c>
      <c r="C83">
        <v>104320</v>
      </c>
      <c r="D83">
        <v>17667901.709799256</v>
      </c>
      <c r="F83" s="16">
        <f t="shared" si="1"/>
        <v>86652098.29020074</v>
      </c>
    </row>
    <row r="84" spans="1:6" x14ac:dyDescent="0.35">
      <c r="A84" s="12" t="s">
        <v>203</v>
      </c>
      <c r="B84">
        <v>751</v>
      </c>
      <c r="C84">
        <v>441585</v>
      </c>
      <c r="D84">
        <v>85702028.336403251</v>
      </c>
      <c r="F84" s="16">
        <f t="shared" si="1"/>
        <v>355882971.66359675</v>
      </c>
    </row>
    <row r="85" spans="1:6" x14ac:dyDescent="0.35">
      <c r="A85" s="12" t="s">
        <v>204</v>
      </c>
      <c r="B85">
        <v>756</v>
      </c>
      <c r="C85">
        <v>66799</v>
      </c>
      <c r="D85">
        <v>10030318.878805483</v>
      </c>
      <c r="F85" s="16">
        <f t="shared" si="1"/>
        <v>56768681.121194519</v>
      </c>
    </row>
    <row r="86" spans="1:6" x14ac:dyDescent="0.35">
      <c r="A86" s="12" t="s">
        <v>205</v>
      </c>
      <c r="B86">
        <v>760</v>
      </c>
      <c r="C86">
        <v>104739</v>
      </c>
      <c r="D86">
        <v>14528954.710964521</v>
      </c>
      <c r="F86" s="16">
        <f t="shared" si="1"/>
        <v>90210045.289035484</v>
      </c>
    </row>
    <row r="87" spans="1:6" x14ac:dyDescent="0.35">
      <c r="A87" s="12" t="s">
        <v>206</v>
      </c>
      <c r="B87">
        <v>766</v>
      </c>
      <c r="C87">
        <v>83093</v>
      </c>
      <c r="D87">
        <v>12349752.423055701</v>
      </c>
      <c r="F87" s="16">
        <f t="shared" si="1"/>
        <v>70743247.576944292</v>
      </c>
    </row>
    <row r="88" spans="1:6" x14ac:dyDescent="0.35">
      <c r="A88" s="12" t="s">
        <v>207</v>
      </c>
      <c r="B88">
        <v>773</v>
      </c>
      <c r="C88">
        <v>39757</v>
      </c>
      <c r="D88">
        <v>4825538.1688638246</v>
      </c>
      <c r="F88" s="16">
        <f t="shared" si="1"/>
        <v>34931461.831136174</v>
      </c>
    </row>
    <row r="89" spans="1:6" x14ac:dyDescent="0.35">
      <c r="A89" s="12" t="s">
        <v>208</v>
      </c>
      <c r="B89">
        <v>779</v>
      </c>
      <c r="C89">
        <v>88790</v>
      </c>
      <c r="D89">
        <v>11864678.818954477</v>
      </c>
      <c r="F89" s="16">
        <f t="shared" si="1"/>
        <v>76925321.181045517</v>
      </c>
    </row>
    <row r="90" spans="1:6" x14ac:dyDescent="0.35">
      <c r="A90" s="12" t="s">
        <v>209</v>
      </c>
      <c r="B90">
        <v>787</v>
      </c>
      <c r="C90">
        <v>91311</v>
      </c>
      <c r="D90">
        <v>10472235.664886022</v>
      </c>
      <c r="F90" s="16">
        <f t="shared" si="1"/>
        <v>80838764.335113972</v>
      </c>
    </row>
    <row r="91" spans="1:6" x14ac:dyDescent="0.35">
      <c r="A91" s="12" t="s">
        <v>210</v>
      </c>
      <c r="B91">
        <v>791</v>
      </c>
      <c r="C91">
        <v>160086</v>
      </c>
      <c r="D91">
        <v>25072018.244453643</v>
      </c>
      <c r="F91" s="16">
        <f t="shared" si="1"/>
        <v>135013981.75554636</v>
      </c>
    </row>
    <row r="92" spans="1:6" x14ac:dyDescent="0.35">
      <c r="A92" s="12" t="s">
        <v>211</v>
      </c>
      <c r="B92">
        <v>810</v>
      </c>
      <c r="C92">
        <v>66923</v>
      </c>
      <c r="D92">
        <v>9195693.9835539199</v>
      </c>
      <c r="F92" s="16">
        <f t="shared" si="1"/>
        <v>57727306.016446084</v>
      </c>
    </row>
    <row r="93" spans="1:6" x14ac:dyDescent="0.35">
      <c r="A93" s="12" t="s">
        <v>212</v>
      </c>
      <c r="B93">
        <v>813</v>
      </c>
      <c r="C93">
        <v>104252</v>
      </c>
      <c r="D93">
        <v>14742245.231292339</v>
      </c>
      <c r="F93" s="16">
        <f t="shared" si="1"/>
        <v>89509754.768707663</v>
      </c>
    </row>
    <row r="94" spans="1:6" x14ac:dyDescent="0.35">
      <c r="A94" s="12" t="s">
        <v>213</v>
      </c>
      <c r="B94">
        <v>820</v>
      </c>
      <c r="C94">
        <v>75291</v>
      </c>
      <c r="D94">
        <v>9293450.0752946008</v>
      </c>
      <c r="F94" s="16">
        <f t="shared" si="1"/>
        <v>65997549.924705401</v>
      </c>
    </row>
    <row r="95" spans="1:6" x14ac:dyDescent="0.35">
      <c r="A95" s="12" t="s">
        <v>214</v>
      </c>
      <c r="B95">
        <v>825</v>
      </c>
      <c r="C95">
        <v>3973</v>
      </c>
      <c r="D95">
        <v>445172.11811821116</v>
      </c>
      <c r="F95" s="16">
        <f t="shared" si="1"/>
        <v>3527827.8818817888</v>
      </c>
    </row>
    <row r="96" spans="1:6" x14ac:dyDescent="0.35">
      <c r="A96" s="12" t="s">
        <v>215</v>
      </c>
      <c r="B96">
        <v>840</v>
      </c>
      <c r="C96">
        <v>68207</v>
      </c>
      <c r="D96">
        <v>8278822.0683903703</v>
      </c>
      <c r="F96" s="16">
        <f t="shared" si="1"/>
        <v>59928177.931609631</v>
      </c>
    </row>
    <row r="97" spans="1:6" x14ac:dyDescent="0.35">
      <c r="A97" s="12" t="s">
        <v>216</v>
      </c>
      <c r="B97">
        <v>846</v>
      </c>
      <c r="C97">
        <v>84308</v>
      </c>
      <c r="D97">
        <v>10677952.258325296</v>
      </c>
      <c r="F97" s="16">
        <f t="shared" si="1"/>
        <v>73630047.741674706</v>
      </c>
    </row>
    <row r="98" spans="1:6" x14ac:dyDescent="0.35">
      <c r="A98" s="12" t="s">
        <v>217</v>
      </c>
      <c r="B98">
        <v>849</v>
      </c>
      <c r="C98">
        <v>77989</v>
      </c>
      <c r="D98">
        <v>9466036.564694101</v>
      </c>
      <c r="F98" s="16">
        <f t="shared" si="1"/>
        <v>68522963.435305893</v>
      </c>
    </row>
    <row r="99" spans="1:6" x14ac:dyDescent="0.35">
      <c r="A99" s="12" t="s">
        <v>218</v>
      </c>
      <c r="B99">
        <v>851</v>
      </c>
      <c r="C99">
        <v>360038</v>
      </c>
      <c r="D99">
        <v>53510663.012633674</v>
      </c>
      <c r="F99" s="16">
        <f t="shared" si="1"/>
        <v>306527336.98736632</v>
      </c>
    </row>
    <row r="100" spans="1:6" x14ac:dyDescent="0.35">
      <c r="A100" s="12" t="s">
        <v>219</v>
      </c>
      <c r="B100">
        <v>860</v>
      </c>
      <c r="C100">
        <v>130322</v>
      </c>
      <c r="D100">
        <v>15950976.962581543</v>
      </c>
      <c r="F100" s="16">
        <f t="shared" si="1"/>
        <v>114371023.03741845</v>
      </c>
    </row>
    <row r="101" spans="1:6" x14ac:dyDescent="0.35">
      <c r="D101">
        <v>1476511264.9832892</v>
      </c>
      <c r="F101" s="15">
        <f>SUM(F3:F100)</f>
        <v>7325787735.0167084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3732-2AE2-4A98-AF9A-3BBC3690FF27}">
  <dimension ref="A1:B123"/>
  <sheetViews>
    <sheetView topLeftCell="A91" workbookViewId="0">
      <selection activeCell="B78" sqref="B78"/>
    </sheetView>
  </sheetViews>
  <sheetFormatPr defaultRowHeight="14.5" x14ac:dyDescent="0.35"/>
  <cols>
    <col min="1" max="1" width="26.54296875" bestFit="1" customWidth="1"/>
  </cols>
  <sheetData>
    <row r="1" spans="1:2" x14ac:dyDescent="0.35">
      <c r="A1" s="12" t="s">
        <v>239</v>
      </c>
      <c r="B1" s="12" t="s">
        <v>240</v>
      </c>
    </row>
    <row r="2" spans="1:2" x14ac:dyDescent="0.35">
      <c r="A2" s="12" t="s">
        <v>241</v>
      </c>
    </row>
    <row r="3" spans="1:2" x14ac:dyDescent="0.35">
      <c r="A3" t="s">
        <v>242</v>
      </c>
      <c r="B3" s="12">
        <v>1</v>
      </c>
    </row>
    <row r="4" spans="1:2" x14ac:dyDescent="0.35">
      <c r="A4" t="s">
        <v>243</v>
      </c>
      <c r="B4">
        <v>18</v>
      </c>
    </row>
    <row r="5" spans="1:2" x14ac:dyDescent="0.35">
      <c r="A5" t="s">
        <v>244</v>
      </c>
      <c r="B5">
        <v>14</v>
      </c>
    </row>
    <row r="6" spans="1:2" x14ac:dyDescent="0.35">
      <c r="A6" t="s">
        <v>245</v>
      </c>
      <c r="B6">
        <v>10</v>
      </c>
    </row>
    <row r="7" spans="1:2" x14ac:dyDescent="0.35">
      <c r="A7" t="s">
        <v>246</v>
      </c>
      <c r="B7">
        <v>36</v>
      </c>
    </row>
    <row r="8" spans="1:2" x14ac:dyDescent="0.35">
      <c r="A8" t="s">
        <v>247</v>
      </c>
      <c r="B8">
        <v>21</v>
      </c>
    </row>
    <row r="9" spans="1:2" x14ac:dyDescent="0.35">
      <c r="A9" t="s">
        <v>248</v>
      </c>
      <c r="B9">
        <v>11</v>
      </c>
    </row>
    <row r="10" spans="1:2" x14ac:dyDescent="0.35">
      <c r="A10" t="s">
        <v>249</v>
      </c>
      <c r="B10">
        <v>13</v>
      </c>
    </row>
    <row r="11" spans="1:2" x14ac:dyDescent="0.35">
      <c r="A11" t="s">
        <v>250</v>
      </c>
      <c r="B11">
        <v>8</v>
      </c>
    </row>
    <row r="12" spans="1:2" x14ac:dyDescent="0.35">
      <c r="A12" t="s">
        <v>251</v>
      </c>
      <c r="B12">
        <v>26</v>
      </c>
    </row>
    <row r="13" spans="1:2" x14ac:dyDescent="0.35">
      <c r="A13" t="s">
        <v>252</v>
      </c>
      <c r="B13">
        <v>20</v>
      </c>
    </row>
    <row r="15" spans="1:2" x14ac:dyDescent="0.35">
      <c r="A15" s="12" t="s">
        <v>253</v>
      </c>
    </row>
    <row r="16" spans="1:2" x14ac:dyDescent="0.35">
      <c r="A16" t="s">
        <v>242</v>
      </c>
      <c r="B16" s="12">
        <v>9</v>
      </c>
    </row>
    <row r="17" spans="1:2" x14ac:dyDescent="0.35">
      <c r="A17" t="s">
        <v>254</v>
      </c>
      <c r="B17">
        <v>20</v>
      </c>
    </row>
    <row r="18" spans="1:2" x14ac:dyDescent="0.35">
      <c r="A18" t="s">
        <v>255</v>
      </c>
      <c r="B18">
        <v>27</v>
      </c>
    </row>
    <row r="19" spans="1:2" x14ac:dyDescent="0.35">
      <c r="A19" t="s">
        <v>256</v>
      </c>
      <c r="B19">
        <v>22</v>
      </c>
    </row>
    <row r="20" spans="1:2" x14ac:dyDescent="0.35">
      <c r="A20" t="s">
        <v>257</v>
      </c>
      <c r="B20">
        <v>34</v>
      </c>
    </row>
    <row r="21" spans="1:2" x14ac:dyDescent="0.35">
      <c r="A21" t="s">
        <v>258</v>
      </c>
      <c r="B21">
        <v>27</v>
      </c>
    </row>
    <row r="22" spans="1:2" x14ac:dyDescent="0.35">
      <c r="A22" t="s">
        <v>259</v>
      </c>
      <c r="B22">
        <v>40</v>
      </c>
    </row>
    <row r="23" spans="1:2" x14ac:dyDescent="0.35">
      <c r="A23" t="s">
        <v>260</v>
      </c>
      <c r="B23">
        <v>24</v>
      </c>
    </row>
    <row r="24" spans="1:2" x14ac:dyDescent="0.35">
      <c r="A24" s="12" t="s">
        <v>261</v>
      </c>
    </row>
    <row r="25" spans="1:2" x14ac:dyDescent="0.35">
      <c r="A25" t="s">
        <v>262</v>
      </c>
      <c r="B25">
        <v>25</v>
      </c>
    </row>
    <row r="26" spans="1:2" x14ac:dyDescent="0.35">
      <c r="A26" t="s">
        <v>263</v>
      </c>
      <c r="B26">
        <v>17</v>
      </c>
    </row>
    <row r="27" spans="1:2" x14ac:dyDescent="0.35">
      <c r="A27" t="s">
        <v>264</v>
      </c>
      <c r="B27">
        <v>32</v>
      </c>
    </row>
    <row r="28" spans="1:2" x14ac:dyDescent="0.35">
      <c r="A28" t="s">
        <v>265</v>
      </c>
      <c r="B28">
        <v>23</v>
      </c>
    </row>
    <row r="29" spans="1:2" x14ac:dyDescent="0.35">
      <c r="A29" t="s">
        <v>266</v>
      </c>
      <c r="B29">
        <v>19</v>
      </c>
    </row>
    <row r="30" spans="1:2" x14ac:dyDescent="0.35">
      <c r="A30" t="s">
        <v>267</v>
      </c>
      <c r="B30">
        <v>28</v>
      </c>
    </row>
    <row r="31" spans="1:2" x14ac:dyDescent="0.35">
      <c r="A31" t="s">
        <v>268</v>
      </c>
      <c r="B31">
        <v>29</v>
      </c>
    </row>
    <row r="32" spans="1:2" x14ac:dyDescent="0.35">
      <c r="A32" t="s">
        <v>269</v>
      </c>
      <c r="B32">
        <v>21</v>
      </c>
    </row>
    <row r="33" spans="1:2" x14ac:dyDescent="0.35">
      <c r="A33" t="s">
        <v>270</v>
      </c>
      <c r="B33">
        <v>27</v>
      </c>
    </row>
    <row r="34" spans="1:2" x14ac:dyDescent="0.35">
      <c r="A34" t="s">
        <v>271</v>
      </c>
      <c r="B34">
        <v>18</v>
      </c>
    </row>
    <row r="35" spans="1:2" x14ac:dyDescent="0.35">
      <c r="A35" t="s">
        <v>272</v>
      </c>
      <c r="B35">
        <v>18</v>
      </c>
    </row>
    <row r="36" spans="1:2" x14ac:dyDescent="0.35">
      <c r="A36" t="s">
        <v>273</v>
      </c>
      <c r="B36">
        <v>20</v>
      </c>
    </row>
    <row r="37" spans="1:2" x14ac:dyDescent="0.35">
      <c r="A37" t="s">
        <v>274</v>
      </c>
      <c r="B37">
        <v>25</v>
      </c>
    </row>
    <row r="38" spans="1:2" x14ac:dyDescent="0.35">
      <c r="A38" s="12" t="s">
        <v>275</v>
      </c>
    </row>
    <row r="39" spans="1:2" x14ac:dyDescent="0.35">
      <c r="A39" t="s">
        <v>242</v>
      </c>
      <c r="B39">
        <v>1</v>
      </c>
    </row>
    <row r="40" spans="1:2" x14ac:dyDescent="0.35">
      <c r="A40" t="s">
        <v>276</v>
      </c>
      <c r="B40">
        <v>33</v>
      </c>
    </row>
    <row r="41" spans="1:2" x14ac:dyDescent="0.35">
      <c r="A41" t="s">
        <v>277</v>
      </c>
      <c r="B41">
        <v>18</v>
      </c>
    </row>
    <row r="42" spans="1:2" x14ac:dyDescent="0.35">
      <c r="A42" t="s">
        <v>278</v>
      </c>
      <c r="B42">
        <v>25</v>
      </c>
    </row>
    <row r="43" spans="1:2" x14ac:dyDescent="0.35">
      <c r="A43" t="s">
        <v>279</v>
      </c>
      <c r="B43">
        <v>18</v>
      </c>
    </row>
    <row r="44" spans="1:2" x14ac:dyDescent="0.35">
      <c r="A44" t="s">
        <v>280</v>
      </c>
      <c r="B44">
        <v>28</v>
      </c>
    </row>
    <row r="45" spans="1:2" x14ac:dyDescent="0.35">
      <c r="A45" t="s">
        <v>281</v>
      </c>
      <c r="B45">
        <v>28</v>
      </c>
    </row>
    <row r="46" spans="1:2" x14ac:dyDescent="0.35">
      <c r="A46" t="s">
        <v>282</v>
      </c>
      <c r="B46">
        <v>19</v>
      </c>
    </row>
    <row r="47" spans="1:2" x14ac:dyDescent="0.35">
      <c r="A47" t="s">
        <v>283</v>
      </c>
      <c r="B47">
        <v>24</v>
      </c>
    </row>
    <row r="48" spans="1:2" x14ac:dyDescent="0.35">
      <c r="A48" t="s">
        <v>284</v>
      </c>
      <c r="B48">
        <v>32</v>
      </c>
    </row>
    <row r="49" spans="1:2" x14ac:dyDescent="0.35">
      <c r="A49" s="12" t="s">
        <v>285</v>
      </c>
    </row>
    <row r="50" spans="1:2" x14ac:dyDescent="0.35">
      <c r="A50" t="s">
        <v>286</v>
      </c>
      <c r="B50">
        <v>22</v>
      </c>
    </row>
    <row r="51" spans="1:2" x14ac:dyDescent="0.35">
      <c r="A51" t="s">
        <v>287</v>
      </c>
      <c r="B51">
        <v>13</v>
      </c>
    </row>
    <row r="52" spans="1:2" x14ac:dyDescent="0.35">
      <c r="A52" t="s">
        <v>288</v>
      </c>
      <c r="B52">
        <v>10</v>
      </c>
    </row>
    <row r="53" spans="1:2" x14ac:dyDescent="0.35">
      <c r="A53" t="s">
        <v>289</v>
      </c>
      <c r="B53">
        <v>10</v>
      </c>
    </row>
    <row r="54" spans="1:2" x14ac:dyDescent="0.35">
      <c r="A54" s="12" t="s">
        <v>290</v>
      </c>
    </row>
    <row r="55" spans="1:2" x14ac:dyDescent="0.35">
      <c r="A55" t="s">
        <v>242</v>
      </c>
      <c r="B55">
        <v>2</v>
      </c>
    </row>
    <row r="56" spans="1:2" x14ac:dyDescent="0.35">
      <c r="A56" t="s">
        <v>291</v>
      </c>
      <c r="B56">
        <v>18</v>
      </c>
    </row>
    <row r="57" spans="1:2" x14ac:dyDescent="0.35">
      <c r="A57" t="s">
        <v>292</v>
      </c>
      <c r="B57">
        <v>16</v>
      </c>
    </row>
    <row r="58" spans="1:2" x14ac:dyDescent="0.35">
      <c r="A58" t="s">
        <v>293</v>
      </c>
      <c r="B58">
        <v>15</v>
      </c>
    </row>
    <row r="59" spans="1:2" x14ac:dyDescent="0.35">
      <c r="A59" t="s">
        <v>294</v>
      </c>
      <c r="B59">
        <v>16</v>
      </c>
    </row>
    <row r="60" spans="1:2" x14ac:dyDescent="0.35">
      <c r="A60" t="s">
        <v>295</v>
      </c>
      <c r="B60">
        <v>32</v>
      </c>
    </row>
    <row r="61" spans="1:2" x14ac:dyDescent="0.35">
      <c r="A61" t="s">
        <v>296</v>
      </c>
      <c r="B61">
        <v>15</v>
      </c>
    </row>
    <row r="62" spans="1:2" x14ac:dyDescent="0.35">
      <c r="A62" t="s">
        <v>297</v>
      </c>
      <c r="B62">
        <v>18</v>
      </c>
    </row>
    <row r="63" spans="1:2" x14ac:dyDescent="0.35">
      <c r="A63" t="s">
        <v>298</v>
      </c>
      <c r="B63">
        <v>21</v>
      </c>
    </row>
    <row r="64" spans="1:2" x14ac:dyDescent="0.35">
      <c r="A64" s="12" t="s">
        <v>299</v>
      </c>
    </row>
    <row r="65" spans="1:2" x14ac:dyDescent="0.35">
      <c r="A65" t="s">
        <v>242</v>
      </c>
      <c r="B65">
        <v>4</v>
      </c>
    </row>
    <row r="66" spans="1:2" x14ac:dyDescent="0.35">
      <c r="A66" t="s">
        <v>300</v>
      </c>
      <c r="B66">
        <v>25</v>
      </c>
    </row>
    <row r="67" spans="1:2" x14ac:dyDescent="0.35">
      <c r="A67" t="s">
        <v>301</v>
      </c>
      <c r="B67">
        <v>31</v>
      </c>
    </row>
    <row r="68" spans="1:2" x14ac:dyDescent="0.35">
      <c r="A68" t="s">
        <v>302</v>
      </c>
      <c r="B68">
        <v>21</v>
      </c>
    </row>
    <row r="69" spans="1:2" x14ac:dyDescent="0.35">
      <c r="A69" t="s">
        <v>303</v>
      </c>
      <c r="B69">
        <v>21</v>
      </c>
    </row>
    <row r="70" spans="1:2" x14ac:dyDescent="0.35">
      <c r="A70" t="s">
        <v>304</v>
      </c>
      <c r="B70">
        <v>11</v>
      </c>
    </row>
    <row r="71" spans="1:2" x14ac:dyDescent="0.35">
      <c r="A71" t="s">
        <v>305</v>
      </c>
      <c r="B71">
        <v>31</v>
      </c>
    </row>
    <row r="72" spans="1:2" x14ac:dyDescent="0.35">
      <c r="A72" t="s">
        <v>306</v>
      </c>
      <c r="B72">
        <v>12</v>
      </c>
    </row>
    <row r="73" spans="1:2" x14ac:dyDescent="0.35">
      <c r="A73" t="s">
        <v>307</v>
      </c>
      <c r="B73">
        <v>27</v>
      </c>
    </row>
    <row r="74" spans="1:2" x14ac:dyDescent="0.35">
      <c r="A74" t="s">
        <v>308</v>
      </c>
      <c r="B74">
        <v>32</v>
      </c>
    </row>
    <row r="75" spans="1:2" x14ac:dyDescent="0.35">
      <c r="A75" t="s">
        <v>309</v>
      </c>
      <c r="B75">
        <v>31</v>
      </c>
    </row>
    <row r="76" spans="1:2" x14ac:dyDescent="0.35">
      <c r="A76" t="s">
        <v>310</v>
      </c>
      <c r="B76">
        <v>17</v>
      </c>
    </row>
    <row r="77" spans="1:2" x14ac:dyDescent="0.35">
      <c r="A77" t="s">
        <v>311</v>
      </c>
      <c r="B77">
        <v>21</v>
      </c>
    </row>
    <row r="78" spans="1:2" x14ac:dyDescent="0.35">
      <c r="A78" s="12" t="s">
        <v>312</v>
      </c>
    </row>
    <row r="79" spans="1:2" x14ac:dyDescent="0.35">
      <c r="A79" t="s">
        <v>313</v>
      </c>
      <c r="B79">
        <v>18</v>
      </c>
    </row>
    <row r="80" spans="1:2" x14ac:dyDescent="0.35">
      <c r="A80" t="s">
        <v>314</v>
      </c>
      <c r="B80">
        <v>20</v>
      </c>
    </row>
    <row r="81" spans="1:2" x14ac:dyDescent="0.35">
      <c r="A81" t="s">
        <v>315</v>
      </c>
      <c r="B81">
        <v>22</v>
      </c>
    </row>
    <row r="82" spans="1:2" x14ac:dyDescent="0.35">
      <c r="A82" t="s">
        <v>316</v>
      </c>
      <c r="B82">
        <v>21</v>
      </c>
    </row>
    <row r="83" spans="1:2" x14ac:dyDescent="0.35">
      <c r="A83" t="s">
        <v>317</v>
      </c>
      <c r="B83">
        <v>12</v>
      </c>
    </row>
    <row r="84" spans="1:2" x14ac:dyDescent="0.35">
      <c r="A84" t="s">
        <v>318</v>
      </c>
      <c r="B84">
        <v>9</v>
      </c>
    </row>
    <row r="85" spans="1:2" x14ac:dyDescent="0.35">
      <c r="A85" t="s">
        <v>319</v>
      </c>
      <c r="B85">
        <v>10</v>
      </c>
    </row>
    <row r="86" spans="1:2" x14ac:dyDescent="0.35">
      <c r="A86" t="s">
        <v>320</v>
      </c>
      <c r="B86">
        <v>10</v>
      </c>
    </row>
    <row r="87" spans="1:2" x14ac:dyDescent="0.35">
      <c r="A87" t="s">
        <v>321</v>
      </c>
      <c r="B87">
        <v>15</v>
      </c>
    </row>
    <row r="88" spans="1:2" x14ac:dyDescent="0.35">
      <c r="A88" t="s">
        <v>322</v>
      </c>
      <c r="B88">
        <v>27</v>
      </c>
    </row>
    <row r="89" spans="1:2" x14ac:dyDescent="0.35">
      <c r="A89" t="s">
        <v>323</v>
      </c>
      <c r="B89">
        <v>19</v>
      </c>
    </row>
    <row r="90" spans="1:2" x14ac:dyDescent="0.35">
      <c r="A90" s="12" t="s">
        <v>324</v>
      </c>
    </row>
    <row r="91" spans="1:2" x14ac:dyDescent="0.35">
      <c r="A91" t="s">
        <v>242</v>
      </c>
      <c r="B91">
        <v>8</v>
      </c>
    </row>
    <row r="92" spans="1:2" x14ac:dyDescent="0.35">
      <c r="A92" t="s">
        <v>325</v>
      </c>
      <c r="B92">
        <v>13</v>
      </c>
    </row>
    <row r="93" spans="1:2" x14ac:dyDescent="0.35">
      <c r="A93" t="s">
        <v>326</v>
      </c>
      <c r="B93">
        <v>21</v>
      </c>
    </row>
    <row r="94" spans="1:2" x14ac:dyDescent="0.35">
      <c r="A94" t="s">
        <v>327</v>
      </c>
      <c r="B94">
        <v>11</v>
      </c>
    </row>
    <row r="95" spans="1:2" x14ac:dyDescent="0.35">
      <c r="A95" t="s">
        <v>328</v>
      </c>
      <c r="B95">
        <v>14</v>
      </c>
    </row>
    <row r="96" spans="1:2" x14ac:dyDescent="0.35">
      <c r="A96" t="s">
        <v>329</v>
      </c>
      <c r="B96">
        <v>15</v>
      </c>
    </row>
    <row r="97" spans="1:2" x14ac:dyDescent="0.35">
      <c r="A97" t="s">
        <v>330</v>
      </c>
      <c r="B97">
        <v>13</v>
      </c>
    </row>
    <row r="98" spans="1:2" x14ac:dyDescent="0.35">
      <c r="A98" t="s">
        <v>331</v>
      </c>
      <c r="B98">
        <v>7</v>
      </c>
    </row>
    <row r="99" spans="1:2" x14ac:dyDescent="0.35">
      <c r="A99" t="s">
        <v>332</v>
      </c>
      <c r="B99">
        <v>13</v>
      </c>
    </row>
    <row r="100" spans="1:2" x14ac:dyDescent="0.35">
      <c r="A100" t="s">
        <v>333</v>
      </c>
      <c r="B100">
        <v>7</v>
      </c>
    </row>
    <row r="101" spans="1:2" x14ac:dyDescent="0.35">
      <c r="A101" t="s">
        <v>334</v>
      </c>
      <c r="B101">
        <v>12</v>
      </c>
    </row>
    <row r="102" spans="1:2" x14ac:dyDescent="0.35">
      <c r="A102" t="s">
        <v>335</v>
      </c>
      <c r="B102">
        <v>30</v>
      </c>
    </row>
    <row r="103" spans="1:2" x14ac:dyDescent="0.35">
      <c r="A103" t="s">
        <v>336</v>
      </c>
      <c r="B103">
        <v>20</v>
      </c>
    </row>
    <row r="104" spans="1:2" x14ac:dyDescent="0.35">
      <c r="A104" t="s">
        <v>337</v>
      </c>
      <c r="B104">
        <v>12</v>
      </c>
    </row>
    <row r="105" spans="1:2" x14ac:dyDescent="0.35">
      <c r="A105" t="s">
        <v>338</v>
      </c>
      <c r="B105">
        <v>20</v>
      </c>
    </row>
    <row r="106" spans="1:2" x14ac:dyDescent="0.35">
      <c r="A106" s="12" t="s">
        <v>339</v>
      </c>
    </row>
    <row r="107" spans="1:2" x14ac:dyDescent="0.35">
      <c r="A107" t="s">
        <v>340</v>
      </c>
      <c r="B107">
        <v>22</v>
      </c>
    </row>
    <row r="108" spans="1:2" x14ac:dyDescent="0.35">
      <c r="A108" t="s">
        <v>341</v>
      </c>
      <c r="B108">
        <v>12</v>
      </c>
    </row>
    <row r="109" spans="1:2" x14ac:dyDescent="0.35">
      <c r="A109" t="s">
        <v>342</v>
      </c>
      <c r="B109">
        <v>35</v>
      </c>
    </row>
    <row r="110" spans="1:2" x14ac:dyDescent="0.35">
      <c r="A110" t="s">
        <v>343</v>
      </c>
      <c r="B110">
        <v>17</v>
      </c>
    </row>
    <row r="111" spans="1:2" x14ac:dyDescent="0.35">
      <c r="A111" t="s">
        <v>344</v>
      </c>
      <c r="B111">
        <v>9</v>
      </c>
    </row>
    <row r="112" spans="1:2" x14ac:dyDescent="0.35">
      <c r="A112" t="s">
        <v>345</v>
      </c>
      <c r="B112">
        <v>19</v>
      </c>
    </row>
    <row r="113" spans="1:2" x14ac:dyDescent="0.35">
      <c r="A113" t="s">
        <v>346</v>
      </c>
      <c r="B113">
        <v>21</v>
      </c>
    </row>
    <row r="114" spans="1:2" x14ac:dyDescent="0.35">
      <c r="A114" t="s">
        <v>347</v>
      </c>
      <c r="B114">
        <v>30</v>
      </c>
    </row>
    <row r="115" spans="1:2" x14ac:dyDescent="0.35">
      <c r="A115" t="s">
        <v>348</v>
      </c>
      <c r="B115">
        <v>27</v>
      </c>
    </row>
    <row r="116" spans="1:2" x14ac:dyDescent="0.35">
      <c r="A116" t="s">
        <v>349</v>
      </c>
      <c r="B116">
        <v>20</v>
      </c>
    </row>
    <row r="117" spans="1:2" x14ac:dyDescent="0.35">
      <c r="A117" t="s">
        <v>350</v>
      </c>
      <c r="B117">
        <v>39</v>
      </c>
    </row>
    <row r="118" spans="1:2" x14ac:dyDescent="0.35">
      <c r="A118" t="s">
        <v>351</v>
      </c>
      <c r="B118">
        <v>34</v>
      </c>
    </row>
    <row r="119" spans="1:2" x14ac:dyDescent="0.35">
      <c r="A119" t="s">
        <v>352</v>
      </c>
      <c r="B119">
        <v>27</v>
      </c>
    </row>
    <row r="120" spans="1:2" x14ac:dyDescent="0.35">
      <c r="A120" t="s">
        <v>353</v>
      </c>
      <c r="B120">
        <v>28</v>
      </c>
    </row>
    <row r="122" spans="1:2" x14ac:dyDescent="0.35">
      <c r="A122" s="12" t="s">
        <v>354</v>
      </c>
      <c r="B122" s="16">
        <v>2098</v>
      </c>
    </row>
    <row r="123" spans="1:2" x14ac:dyDescent="0.35">
      <c r="A123" s="12" t="s">
        <v>355</v>
      </c>
      <c r="B123" s="16">
        <f>SUM(B3:B120)</f>
        <v>2140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8EC9-FDDD-4CD3-AE22-F047398819D1}">
  <dimension ref="A1:B116"/>
  <sheetViews>
    <sheetView topLeftCell="A79" workbookViewId="0">
      <selection activeCell="B100" sqref="B100:B113"/>
    </sheetView>
  </sheetViews>
  <sheetFormatPr defaultRowHeight="14.5" x14ac:dyDescent="0.35"/>
  <cols>
    <col min="1" max="1" width="30.26953125" bestFit="1" customWidth="1"/>
    <col min="2" max="2" width="15.453125" bestFit="1" customWidth="1"/>
  </cols>
  <sheetData>
    <row r="1" spans="1:2" x14ac:dyDescent="0.35">
      <c r="A1" s="21" t="s">
        <v>239</v>
      </c>
      <c r="B1" t="s">
        <v>359</v>
      </c>
    </row>
    <row r="2" spans="1:2" x14ac:dyDescent="0.35">
      <c r="A2" s="20" t="s">
        <v>241</v>
      </c>
      <c r="B2">
        <v>128</v>
      </c>
    </row>
    <row r="3" spans="1:2" x14ac:dyDescent="0.35">
      <c r="A3" s="19" t="s">
        <v>243</v>
      </c>
      <c r="B3">
        <v>16</v>
      </c>
    </row>
    <row r="4" spans="1:2" x14ac:dyDescent="0.35">
      <c r="A4" s="19" t="s">
        <v>244</v>
      </c>
      <c r="B4">
        <v>11</v>
      </c>
    </row>
    <row r="5" spans="1:2" x14ac:dyDescent="0.35">
      <c r="A5" s="19" t="s">
        <v>245</v>
      </c>
      <c r="B5">
        <v>9</v>
      </c>
    </row>
    <row r="6" spans="1:2" x14ac:dyDescent="0.35">
      <c r="A6" s="19" t="s">
        <v>246</v>
      </c>
      <c r="B6">
        <v>17</v>
      </c>
    </row>
    <row r="7" spans="1:2" x14ac:dyDescent="0.35">
      <c r="A7" s="19" t="s">
        <v>247</v>
      </c>
      <c r="B7">
        <v>18</v>
      </c>
    </row>
    <row r="8" spans="1:2" x14ac:dyDescent="0.35">
      <c r="A8" s="19" t="s">
        <v>248</v>
      </c>
      <c r="B8">
        <v>7</v>
      </c>
    </row>
    <row r="9" spans="1:2" x14ac:dyDescent="0.35">
      <c r="A9" s="19" t="s">
        <v>249</v>
      </c>
      <c r="B9">
        <v>10</v>
      </c>
    </row>
    <row r="10" spans="1:2" x14ac:dyDescent="0.35">
      <c r="A10" s="19" t="s">
        <v>250</v>
      </c>
      <c r="B10">
        <v>11</v>
      </c>
    </row>
    <row r="11" spans="1:2" x14ac:dyDescent="0.35">
      <c r="A11" s="19" t="s">
        <v>251</v>
      </c>
      <c r="B11">
        <v>11</v>
      </c>
    </row>
    <row r="12" spans="1:2" x14ac:dyDescent="0.35">
      <c r="A12" s="19" t="s">
        <v>252</v>
      </c>
      <c r="B12">
        <v>18</v>
      </c>
    </row>
    <row r="13" spans="1:2" x14ac:dyDescent="0.35">
      <c r="A13" s="20" t="s">
        <v>253</v>
      </c>
      <c r="B13">
        <v>125</v>
      </c>
    </row>
    <row r="14" spans="1:2" x14ac:dyDescent="0.35">
      <c r="A14" s="19" t="s">
        <v>254</v>
      </c>
      <c r="B14">
        <v>10</v>
      </c>
    </row>
    <row r="15" spans="1:2" x14ac:dyDescent="0.35">
      <c r="A15" s="19" t="s">
        <v>255</v>
      </c>
      <c r="B15">
        <v>18</v>
      </c>
    </row>
    <row r="16" spans="1:2" x14ac:dyDescent="0.35">
      <c r="A16" s="19" t="s">
        <v>256</v>
      </c>
      <c r="B16">
        <v>16</v>
      </c>
    </row>
    <row r="17" spans="1:2" x14ac:dyDescent="0.35">
      <c r="A17" s="19" t="s">
        <v>257</v>
      </c>
      <c r="B17">
        <v>22</v>
      </c>
    </row>
    <row r="18" spans="1:2" x14ac:dyDescent="0.35">
      <c r="A18" s="19" t="s">
        <v>258</v>
      </c>
      <c r="B18">
        <v>20</v>
      </c>
    </row>
    <row r="19" spans="1:2" x14ac:dyDescent="0.35">
      <c r="A19" s="19" t="s">
        <v>259</v>
      </c>
      <c r="B19">
        <v>23</v>
      </c>
    </row>
    <row r="20" spans="1:2" x14ac:dyDescent="0.35">
      <c r="A20" s="19" t="s">
        <v>260</v>
      </c>
      <c r="B20">
        <v>16</v>
      </c>
    </row>
    <row r="21" spans="1:2" x14ac:dyDescent="0.35">
      <c r="A21" s="20" t="s">
        <v>261</v>
      </c>
      <c r="B21">
        <v>120</v>
      </c>
    </row>
    <row r="22" spans="1:2" x14ac:dyDescent="0.35">
      <c r="A22" s="19" t="s">
        <v>262</v>
      </c>
      <c r="B22">
        <v>6</v>
      </c>
    </row>
    <row r="23" spans="1:2" x14ac:dyDescent="0.35">
      <c r="A23" s="19" t="s">
        <v>263</v>
      </c>
      <c r="B23">
        <v>6</v>
      </c>
    </row>
    <row r="24" spans="1:2" x14ac:dyDescent="0.35">
      <c r="A24" s="19" t="s">
        <v>264</v>
      </c>
      <c r="B24">
        <v>15</v>
      </c>
    </row>
    <row r="25" spans="1:2" x14ac:dyDescent="0.35">
      <c r="A25" s="19" t="s">
        <v>265</v>
      </c>
      <c r="B25">
        <v>13</v>
      </c>
    </row>
    <row r="26" spans="1:2" x14ac:dyDescent="0.35">
      <c r="A26" s="19" t="s">
        <v>266</v>
      </c>
      <c r="B26">
        <v>9</v>
      </c>
    </row>
    <row r="27" spans="1:2" x14ac:dyDescent="0.35">
      <c r="A27" s="19" t="s">
        <v>267</v>
      </c>
      <c r="B27">
        <v>10</v>
      </c>
    </row>
    <row r="28" spans="1:2" x14ac:dyDescent="0.35">
      <c r="A28" s="19" t="s">
        <v>268</v>
      </c>
      <c r="B28">
        <v>9</v>
      </c>
    </row>
    <row r="29" spans="1:2" x14ac:dyDescent="0.35">
      <c r="A29" s="19" t="s">
        <v>269</v>
      </c>
      <c r="B29">
        <v>9</v>
      </c>
    </row>
    <row r="30" spans="1:2" x14ac:dyDescent="0.35">
      <c r="A30" s="19" t="s">
        <v>270</v>
      </c>
      <c r="B30">
        <v>14</v>
      </c>
    </row>
    <row r="31" spans="1:2" x14ac:dyDescent="0.35">
      <c r="A31" s="19" t="s">
        <v>271</v>
      </c>
      <c r="B31">
        <v>7</v>
      </c>
    </row>
    <row r="32" spans="1:2" x14ac:dyDescent="0.35">
      <c r="A32" s="19" t="s">
        <v>272</v>
      </c>
      <c r="B32">
        <v>6</v>
      </c>
    </row>
    <row r="33" spans="1:2" x14ac:dyDescent="0.35">
      <c r="A33" s="19" t="s">
        <v>273</v>
      </c>
      <c r="B33">
        <v>8</v>
      </c>
    </row>
    <row r="34" spans="1:2" x14ac:dyDescent="0.35">
      <c r="A34" s="19" t="s">
        <v>274</v>
      </c>
      <c r="B34">
        <v>8</v>
      </c>
    </row>
    <row r="35" spans="1:2" x14ac:dyDescent="0.35">
      <c r="A35" s="20" t="s">
        <v>275</v>
      </c>
      <c r="B35">
        <v>82</v>
      </c>
    </row>
    <row r="36" spans="1:2" x14ac:dyDescent="0.35">
      <c r="A36" s="19" t="s">
        <v>276</v>
      </c>
      <c r="B36">
        <v>10</v>
      </c>
    </row>
    <row r="37" spans="1:2" x14ac:dyDescent="0.35">
      <c r="A37" s="19" t="s">
        <v>277</v>
      </c>
      <c r="B37">
        <v>6</v>
      </c>
    </row>
    <row r="38" spans="1:2" x14ac:dyDescent="0.35">
      <c r="A38" s="19" t="s">
        <v>278</v>
      </c>
      <c r="B38">
        <v>9</v>
      </c>
    </row>
    <row r="39" spans="1:2" x14ac:dyDescent="0.35">
      <c r="A39" s="19" t="s">
        <v>279</v>
      </c>
      <c r="B39">
        <v>14</v>
      </c>
    </row>
    <row r="40" spans="1:2" x14ac:dyDescent="0.35">
      <c r="A40" s="19" t="s">
        <v>280</v>
      </c>
      <c r="B40">
        <v>9</v>
      </c>
    </row>
    <row r="41" spans="1:2" x14ac:dyDescent="0.35">
      <c r="A41" s="19" t="s">
        <v>281</v>
      </c>
      <c r="B41">
        <v>13</v>
      </c>
    </row>
    <row r="42" spans="1:2" x14ac:dyDescent="0.35">
      <c r="A42" s="19" t="s">
        <v>282</v>
      </c>
      <c r="B42">
        <v>5</v>
      </c>
    </row>
    <row r="43" spans="1:2" x14ac:dyDescent="0.35">
      <c r="A43" s="19" t="s">
        <v>283</v>
      </c>
      <c r="B43">
        <v>9</v>
      </c>
    </row>
    <row r="44" spans="1:2" x14ac:dyDescent="0.35">
      <c r="A44" s="19" t="s">
        <v>284</v>
      </c>
      <c r="B44">
        <v>7</v>
      </c>
    </row>
    <row r="45" spans="1:2" x14ac:dyDescent="0.35">
      <c r="A45" s="20" t="s">
        <v>285</v>
      </c>
      <c r="B45">
        <v>37</v>
      </c>
    </row>
    <row r="46" spans="1:2" x14ac:dyDescent="0.35">
      <c r="A46" s="19" t="s">
        <v>286</v>
      </c>
      <c r="B46">
        <v>14</v>
      </c>
    </row>
    <row r="47" spans="1:2" x14ac:dyDescent="0.35">
      <c r="A47" s="19" t="s">
        <v>287</v>
      </c>
      <c r="B47">
        <v>7</v>
      </c>
    </row>
    <row r="48" spans="1:2" x14ac:dyDescent="0.35">
      <c r="A48" s="19" t="s">
        <v>288</v>
      </c>
      <c r="B48">
        <v>7</v>
      </c>
    </row>
    <row r="49" spans="1:2" x14ac:dyDescent="0.35">
      <c r="A49" s="19" t="s">
        <v>289</v>
      </c>
      <c r="B49">
        <v>9</v>
      </c>
    </row>
    <row r="50" spans="1:2" x14ac:dyDescent="0.35">
      <c r="A50" s="20" t="s">
        <v>290</v>
      </c>
      <c r="B50">
        <v>105</v>
      </c>
    </row>
    <row r="51" spans="1:2" x14ac:dyDescent="0.35">
      <c r="A51" s="19" t="s">
        <v>291</v>
      </c>
      <c r="B51">
        <v>13</v>
      </c>
    </row>
    <row r="52" spans="1:2" x14ac:dyDescent="0.35">
      <c r="A52" s="19" t="s">
        <v>292</v>
      </c>
      <c r="B52">
        <v>12</v>
      </c>
    </row>
    <row r="53" spans="1:2" x14ac:dyDescent="0.35">
      <c r="A53" s="19" t="s">
        <v>293</v>
      </c>
      <c r="B53">
        <v>10</v>
      </c>
    </row>
    <row r="54" spans="1:2" x14ac:dyDescent="0.35">
      <c r="A54" s="19" t="s">
        <v>294</v>
      </c>
      <c r="B54">
        <v>13</v>
      </c>
    </row>
    <row r="55" spans="1:2" x14ac:dyDescent="0.35">
      <c r="A55" s="19" t="s">
        <v>295</v>
      </c>
      <c r="B55">
        <v>15</v>
      </c>
    </row>
    <row r="56" spans="1:2" x14ac:dyDescent="0.35">
      <c r="A56" s="19" t="s">
        <v>296</v>
      </c>
      <c r="B56">
        <v>13</v>
      </c>
    </row>
    <row r="57" spans="1:2" x14ac:dyDescent="0.35">
      <c r="A57" s="19" t="s">
        <v>297</v>
      </c>
      <c r="B57">
        <v>14</v>
      </c>
    </row>
    <row r="58" spans="1:2" x14ac:dyDescent="0.35">
      <c r="A58" s="19" t="s">
        <v>298</v>
      </c>
      <c r="B58">
        <v>15</v>
      </c>
    </row>
    <row r="59" spans="1:2" x14ac:dyDescent="0.35">
      <c r="A59" s="20" t="s">
        <v>299</v>
      </c>
      <c r="B59">
        <v>157</v>
      </c>
    </row>
    <row r="60" spans="1:2" x14ac:dyDescent="0.35">
      <c r="A60" s="19" t="s">
        <v>300</v>
      </c>
      <c r="B60">
        <v>9</v>
      </c>
    </row>
    <row r="61" spans="1:2" x14ac:dyDescent="0.35">
      <c r="A61" s="19" t="s">
        <v>301</v>
      </c>
      <c r="B61">
        <v>18</v>
      </c>
    </row>
    <row r="62" spans="1:2" x14ac:dyDescent="0.35">
      <c r="A62" s="19" t="s">
        <v>302</v>
      </c>
      <c r="B62">
        <v>14</v>
      </c>
    </row>
    <row r="63" spans="1:2" x14ac:dyDescent="0.35">
      <c r="A63" s="19" t="s">
        <v>303</v>
      </c>
      <c r="B63">
        <v>8</v>
      </c>
    </row>
    <row r="64" spans="1:2" x14ac:dyDescent="0.35">
      <c r="A64" s="19" t="s">
        <v>304</v>
      </c>
      <c r="B64">
        <v>8</v>
      </c>
    </row>
    <row r="65" spans="1:2" x14ac:dyDescent="0.35">
      <c r="A65" s="19" t="s">
        <v>305</v>
      </c>
      <c r="B65">
        <v>19</v>
      </c>
    </row>
    <row r="66" spans="1:2" x14ac:dyDescent="0.35">
      <c r="A66" s="19" t="s">
        <v>306</v>
      </c>
      <c r="B66">
        <v>9</v>
      </c>
    </row>
    <row r="67" spans="1:2" x14ac:dyDescent="0.35">
      <c r="A67" s="19" t="s">
        <v>307</v>
      </c>
      <c r="B67">
        <v>15</v>
      </c>
    </row>
    <row r="68" spans="1:2" x14ac:dyDescent="0.35">
      <c r="A68" s="19" t="s">
        <v>308</v>
      </c>
      <c r="B68">
        <v>11</v>
      </c>
    </row>
    <row r="69" spans="1:2" x14ac:dyDescent="0.35">
      <c r="A69" s="19" t="s">
        <v>309</v>
      </c>
      <c r="B69">
        <v>20</v>
      </c>
    </row>
    <row r="70" spans="1:2" x14ac:dyDescent="0.35">
      <c r="A70" s="19" t="s">
        <v>310</v>
      </c>
      <c r="B70">
        <v>11</v>
      </c>
    </row>
    <row r="71" spans="1:2" x14ac:dyDescent="0.35">
      <c r="A71" s="19" t="s">
        <v>311</v>
      </c>
      <c r="B71">
        <v>15</v>
      </c>
    </row>
    <row r="72" spans="1:2" x14ac:dyDescent="0.35">
      <c r="A72" s="20" t="s">
        <v>312</v>
      </c>
      <c r="B72">
        <v>114</v>
      </c>
    </row>
    <row r="73" spans="1:2" x14ac:dyDescent="0.35">
      <c r="A73" s="19" t="s">
        <v>313</v>
      </c>
      <c r="B73">
        <v>8</v>
      </c>
    </row>
    <row r="74" spans="1:2" x14ac:dyDescent="0.35">
      <c r="A74" s="19" t="s">
        <v>314</v>
      </c>
      <c r="B74">
        <v>11</v>
      </c>
    </row>
    <row r="75" spans="1:2" x14ac:dyDescent="0.35">
      <c r="A75" s="19" t="s">
        <v>315</v>
      </c>
      <c r="B75">
        <v>12</v>
      </c>
    </row>
    <row r="76" spans="1:2" x14ac:dyDescent="0.35">
      <c r="A76" s="19" t="s">
        <v>316</v>
      </c>
      <c r="B76">
        <v>14</v>
      </c>
    </row>
    <row r="77" spans="1:2" x14ac:dyDescent="0.35">
      <c r="A77" s="19" t="s">
        <v>317</v>
      </c>
      <c r="B77">
        <v>7</v>
      </c>
    </row>
    <row r="78" spans="1:2" x14ac:dyDescent="0.35">
      <c r="A78" s="19" t="s">
        <v>318</v>
      </c>
      <c r="B78">
        <v>5</v>
      </c>
    </row>
    <row r="79" spans="1:2" x14ac:dyDescent="0.35">
      <c r="A79" s="19" t="s">
        <v>319</v>
      </c>
      <c r="B79">
        <v>7</v>
      </c>
    </row>
    <row r="80" spans="1:2" x14ac:dyDescent="0.35">
      <c r="A80" s="19" t="s">
        <v>320</v>
      </c>
      <c r="B80">
        <v>6</v>
      </c>
    </row>
    <row r="81" spans="1:2" x14ac:dyDescent="0.35">
      <c r="A81" s="19" t="s">
        <v>321</v>
      </c>
      <c r="B81">
        <v>15</v>
      </c>
    </row>
    <row r="82" spans="1:2" x14ac:dyDescent="0.35">
      <c r="A82" s="19" t="s">
        <v>322</v>
      </c>
      <c r="B82">
        <v>13</v>
      </c>
    </row>
    <row r="83" spans="1:2" x14ac:dyDescent="0.35">
      <c r="A83" s="19" t="s">
        <v>323</v>
      </c>
      <c r="B83">
        <v>16</v>
      </c>
    </row>
    <row r="84" spans="1:2" x14ac:dyDescent="0.35">
      <c r="A84" s="20" t="s">
        <v>324</v>
      </c>
      <c r="B84">
        <v>135</v>
      </c>
    </row>
    <row r="85" spans="1:2" x14ac:dyDescent="0.35">
      <c r="A85" s="19" t="s">
        <v>325</v>
      </c>
      <c r="B85">
        <v>9</v>
      </c>
    </row>
    <row r="86" spans="1:2" x14ac:dyDescent="0.35">
      <c r="A86" s="19" t="s">
        <v>326</v>
      </c>
      <c r="B86">
        <v>13</v>
      </c>
    </row>
    <row r="87" spans="1:2" x14ac:dyDescent="0.35">
      <c r="A87" s="19" t="s">
        <v>327</v>
      </c>
      <c r="B87">
        <v>7</v>
      </c>
    </row>
    <row r="88" spans="1:2" x14ac:dyDescent="0.35">
      <c r="A88" s="19" t="s">
        <v>328</v>
      </c>
      <c r="B88">
        <v>9</v>
      </c>
    </row>
    <row r="89" spans="1:2" x14ac:dyDescent="0.35">
      <c r="A89" s="19" t="s">
        <v>329</v>
      </c>
      <c r="B89">
        <v>9</v>
      </c>
    </row>
    <row r="90" spans="1:2" x14ac:dyDescent="0.35">
      <c r="A90" s="19" t="s">
        <v>330</v>
      </c>
      <c r="B90">
        <v>14</v>
      </c>
    </row>
    <row r="91" spans="1:2" x14ac:dyDescent="0.35">
      <c r="A91" s="19" t="s">
        <v>331</v>
      </c>
      <c r="B91">
        <v>8</v>
      </c>
    </row>
    <row r="92" spans="1:2" x14ac:dyDescent="0.35">
      <c r="A92" s="19" t="s">
        <v>332</v>
      </c>
      <c r="B92">
        <v>9</v>
      </c>
    </row>
    <row r="93" spans="1:2" x14ac:dyDescent="0.35">
      <c r="A93" s="19" t="s">
        <v>333</v>
      </c>
      <c r="B93">
        <v>8</v>
      </c>
    </row>
    <row r="94" spans="1:2" x14ac:dyDescent="0.35">
      <c r="A94" s="19" t="s">
        <v>334</v>
      </c>
      <c r="B94">
        <v>10</v>
      </c>
    </row>
    <row r="95" spans="1:2" x14ac:dyDescent="0.35">
      <c r="A95" s="19" t="s">
        <v>335</v>
      </c>
      <c r="B95">
        <v>10</v>
      </c>
    </row>
    <row r="96" spans="1:2" x14ac:dyDescent="0.35">
      <c r="A96" s="19" t="s">
        <v>336</v>
      </c>
      <c r="B96">
        <v>12</v>
      </c>
    </row>
    <row r="97" spans="1:2" x14ac:dyDescent="0.35">
      <c r="A97" s="19" t="s">
        <v>337</v>
      </c>
      <c r="B97">
        <v>8</v>
      </c>
    </row>
    <row r="98" spans="1:2" x14ac:dyDescent="0.35">
      <c r="A98" s="19" t="s">
        <v>338</v>
      </c>
      <c r="B98">
        <v>9</v>
      </c>
    </row>
    <row r="99" spans="1:2" x14ac:dyDescent="0.35">
      <c r="A99" s="20" t="s">
        <v>339</v>
      </c>
      <c r="B99">
        <v>142</v>
      </c>
    </row>
    <row r="100" spans="1:2" x14ac:dyDescent="0.35">
      <c r="A100" s="19" t="s">
        <v>340</v>
      </c>
      <c r="B100">
        <v>9</v>
      </c>
    </row>
    <row r="101" spans="1:2" x14ac:dyDescent="0.35">
      <c r="A101" s="19" t="s">
        <v>341</v>
      </c>
      <c r="B101">
        <v>7</v>
      </c>
    </row>
    <row r="102" spans="1:2" x14ac:dyDescent="0.35">
      <c r="A102" s="19" t="s">
        <v>342</v>
      </c>
      <c r="B102">
        <v>12</v>
      </c>
    </row>
    <row r="103" spans="1:2" x14ac:dyDescent="0.35">
      <c r="A103" s="19" t="s">
        <v>343</v>
      </c>
      <c r="B103">
        <v>4</v>
      </c>
    </row>
    <row r="104" spans="1:2" x14ac:dyDescent="0.35">
      <c r="A104" s="19" t="s">
        <v>344</v>
      </c>
      <c r="B104">
        <v>3</v>
      </c>
    </row>
    <row r="105" spans="1:2" x14ac:dyDescent="0.35">
      <c r="A105" s="19" t="s">
        <v>345</v>
      </c>
      <c r="B105">
        <v>9</v>
      </c>
    </row>
    <row r="106" spans="1:2" x14ac:dyDescent="0.35">
      <c r="A106" s="19" t="s">
        <v>346</v>
      </c>
      <c r="B106">
        <v>11</v>
      </c>
    </row>
    <row r="107" spans="1:2" x14ac:dyDescent="0.35">
      <c r="A107" s="19" t="s">
        <v>347</v>
      </c>
      <c r="B107">
        <v>14</v>
      </c>
    </row>
    <row r="108" spans="1:2" x14ac:dyDescent="0.35">
      <c r="A108" s="19" t="s">
        <v>348</v>
      </c>
      <c r="B108">
        <v>15</v>
      </c>
    </row>
    <row r="109" spans="1:2" x14ac:dyDescent="0.35">
      <c r="A109" s="19" t="s">
        <v>349</v>
      </c>
      <c r="B109">
        <v>12</v>
      </c>
    </row>
    <row r="110" spans="1:2" x14ac:dyDescent="0.35">
      <c r="A110" s="19" t="s">
        <v>350</v>
      </c>
      <c r="B110">
        <v>9</v>
      </c>
    </row>
    <row r="111" spans="1:2" x14ac:dyDescent="0.35">
      <c r="A111" s="19" t="s">
        <v>351</v>
      </c>
      <c r="B111">
        <v>13</v>
      </c>
    </row>
    <row r="112" spans="1:2" x14ac:dyDescent="0.35">
      <c r="A112" s="19" t="s">
        <v>352</v>
      </c>
      <c r="B112">
        <v>14</v>
      </c>
    </row>
    <row r="113" spans="1:2" x14ac:dyDescent="0.35">
      <c r="A113" s="19" t="s">
        <v>353</v>
      </c>
      <c r="B113">
        <v>10</v>
      </c>
    </row>
    <row r="114" spans="1:2" x14ac:dyDescent="0.35">
      <c r="A114" s="20" t="s">
        <v>242</v>
      </c>
    </row>
    <row r="115" spans="1:2" x14ac:dyDescent="0.35">
      <c r="A115" s="19" t="s">
        <v>242</v>
      </c>
    </row>
    <row r="116" spans="1:2" x14ac:dyDescent="0.35">
      <c r="A116" s="20" t="s">
        <v>358</v>
      </c>
      <c r="B116">
        <v>1145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3EBA-4709-48EB-9E9F-D7364BF25AB5}">
  <dimension ref="A1:B114"/>
  <sheetViews>
    <sheetView topLeftCell="A97" workbookViewId="0">
      <selection activeCell="E123" sqref="E123"/>
    </sheetView>
  </sheetViews>
  <sheetFormatPr defaultRowHeight="14.5" x14ac:dyDescent="0.35"/>
  <cols>
    <col min="1" max="1" width="26.54296875" bestFit="1" customWidth="1"/>
  </cols>
  <sheetData>
    <row r="1" spans="1:2" x14ac:dyDescent="0.35">
      <c r="A1" s="21" t="s">
        <v>239</v>
      </c>
      <c r="B1" t="s">
        <v>357</v>
      </c>
    </row>
    <row r="2" spans="1:2" x14ac:dyDescent="0.35">
      <c r="A2" s="20" t="s">
        <v>241</v>
      </c>
      <c r="B2">
        <v>157</v>
      </c>
    </row>
    <row r="3" spans="1:2" x14ac:dyDescent="0.35">
      <c r="A3" s="19" t="s">
        <v>243</v>
      </c>
      <c r="B3">
        <v>22</v>
      </c>
    </row>
    <row r="4" spans="1:2" x14ac:dyDescent="0.35">
      <c r="A4" s="19" t="s">
        <v>244</v>
      </c>
      <c r="B4">
        <v>18</v>
      </c>
    </row>
    <row r="5" spans="1:2" x14ac:dyDescent="0.35">
      <c r="A5" s="19" t="s">
        <v>245</v>
      </c>
      <c r="B5">
        <v>14</v>
      </c>
    </row>
    <row r="6" spans="1:2" x14ac:dyDescent="0.35">
      <c r="A6" s="19" t="s">
        <v>246</v>
      </c>
      <c r="B6">
        <v>20</v>
      </c>
    </row>
    <row r="7" spans="1:2" x14ac:dyDescent="0.35">
      <c r="A7" s="19" t="s">
        <v>247</v>
      </c>
      <c r="B7">
        <v>18</v>
      </c>
    </row>
    <row r="8" spans="1:2" x14ac:dyDescent="0.35">
      <c r="A8" s="19" t="s">
        <v>248</v>
      </c>
      <c r="B8">
        <v>9</v>
      </c>
    </row>
    <row r="9" spans="1:2" x14ac:dyDescent="0.35">
      <c r="A9" s="19" t="s">
        <v>249</v>
      </c>
      <c r="B9">
        <v>13</v>
      </c>
    </row>
    <row r="10" spans="1:2" x14ac:dyDescent="0.35">
      <c r="A10" s="19" t="s">
        <v>250</v>
      </c>
      <c r="B10">
        <v>13</v>
      </c>
    </row>
    <row r="11" spans="1:2" x14ac:dyDescent="0.35">
      <c r="A11" s="19" t="s">
        <v>251</v>
      </c>
      <c r="B11">
        <v>11</v>
      </c>
    </row>
    <row r="12" spans="1:2" x14ac:dyDescent="0.35">
      <c r="A12" s="19" t="s">
        <v>252</v>
      </c>
      <c r="B12">
        <v>19</v>
      </c>
    </row>
    <row r="13" spans="1:2" x14ac:dyDescent="0.35">
      <c r="A13" s="20" t="s">
        <v>253</v>
      </c>
      <c r="B13">
        <v>145</v>
      </c>
    </row>
    <row r="14" spans="1:2" x14ac:dyDescent="0.35">
      <c r="A14" s="19" t="s">
        <v>254</v>
      </c>
      <c r="B14">
        <v>10</v>
      </c>
    </row>
    <row r="15" spans="1:2" x14ac:dyDescent="0.35">
      <c r="A15" s="19" t="s">
        <v>255</v>
      </c>
      <c r="B15">
        <v>25</v>
      </c>
    </row>
    <row r="16" spans="1:2" x14ac:dyDescent="0.35">
      <c r="A16" s="19" t="s">
        <v>256</v>
      </c>
      <c r="B16">
        <v>20</v>
      </c>
    </row>
    <row r="17" spans="1:2" x14ac:dyDescent="0.35">
      <c r="A17" s="19" t="s">
        <v>257</v>
      </c>
      <c r="B17">
        <v>24</v>
      </c>
    </row>
    <row r="18" spans="1:2" x14ac:dyDescent="0.35">
      <c r="A18" s="19" t="s">
        <v>258</v>
      </c>
      <c r="B18">
        <v>23</v>
      </c>
    </row>
    <row r="19" spans="1:2" x14ac:dyDescent="0.35">
      <c r="A19" s="19" t="s">
        <v>259</v>
      </c>
      <c r="B19">
        <v>24</v>
      </c>
    </row>
    <row r="20" spans="1:2" x14ac:dyDescent="0.35">
      <c r="A20" s="19" t="s">
        <v>260</v>
      </c>
      <c r="B20">
        <v>19</v>
      </c>
    </row>
    <row r="21" spans="1:2" x14ac:dyDescent="0.35">
      <c r="A21" s="20" t="s">
        <v>261</v>
      </c>
      <c r="B21">
        <v>130</v>
      </c>
    </row>
    <row r="22" spans="1:2" x14ac:dyDescent="0.35">
      <c r="A22" s="19" t="s">
        <v>262</v>
      </c>
      <c r="B22">
        <v>7</v>
      </c>
    </row>
    <row r="23" spans="1:2" x14ac:dyDescent="0.35">
      <c r="A23" s="19" t="s">
        <v>263</v>
      </c>
      <c r="B23">
        <v>6</v>
      </c>
    </row>
    <row r="24" spans="1:2" x14ac:dyDescent="0.35">
      <c r="A24" s="19" t="s">
        <v>264</v>
      </c>
      <c r="B24">
        <v>17</v>
      </c>
    </row>
    <row r="25" spans="1:2" x14ac:dyDescent="0.35">
      <c r="A25" s="19" t="s">
        <v>265</v>
      </c>
      <c r="B25">
        <v>16</v>
      </c>
    </row>
    <row r="26" spans="1:2" x14ac:dyDescent="0.35">
      <c r="A26" s="19" t="s">
        <v>266</v>
      </c>
      <c r="B26">
        <v>9</v>
      </c>
    </row>
    <row r="27" spans="1:2" x14ac:dyDescent="0.35">
      <c r="A27" s="19" t="s">
        <v>267</v>
      </c>
      <c r="B27">
        <v>10</v>
      </c>
    </row>
    <row r="28" spans="1:2" x14ac:dyDescent="0.35">
      <c r="A28" s="19" t="s">
        <v>268</v>
      </c>
      <c r="B28">
        <v>9</v>
      </c>
    </row>
    <row r="29" spans="1:2" x14ac:dyDescent="0.35">
      <c r="A29" s="19" t="s">
        <v>269</v>
      </c>
      <c r="B29">
        <v>10</v>
      </c>
    </row>
    <row r="30" spans="1:2" x14ac:dyDescent="0.35">
      <c r="A30" s="19" t="s">
        <v>270</v>
      </c>
      <c r="B30">
        <v>15</v>
      </c>
    </row>
    <row r="31" spans="1:2" x14ac:dyDescent="0.35">
      <c r="A31" s="19" t="s">
        <v>271</v>
      </c>
      <c r="B31">
        <v>9</v>
      </c>
    </row>
    <row r="32" spans="1:2" x14ac:dyDescent="0.35">
      <c r="A32" s="19" t="s">
        <v>272</v>
      </c>
      <c r="B32">
        <v>6</v>
      </c>
    </row>
    <row r="33" spans="1:2" x14ac:dyDescent="0.35">
      <c r="A33" s="19" t="s">
        <v>273</v>
      </c>
      <c r="B33">
        <v>8</v>
      </c>
    </row>
    <row r="34" spans="1:2" x14ac:dyDescent="0.35">
      <c r="A34" s="19" t="s">
        <v>274</v>
      </c>
      <c r="B34">
        <v>8</v>
      </c>
    </row>
    <row r="35" spans="1:2" x14ac:dyDescent="0.35">
      <c r="A35" s="20" t="s">
        <v>275</v>
      </c>
      <c r="B35">
        <v>91</v>
      </c>
    </row>
    <row r="36" spans="1:2" x14ac:dyDescent="0.35">
      <c r="A36" s="19" t="s">
        <v>276</v>
      </c>
      <c r="B36">
        <v>12</v>
      </c>
    </row>
    <row r="37" spans="1:2" x14ac:dyDescent="0.35">
      <c r="A37" s="19" t="s">
        <v>277</v>
      </c>
      <c r="B37">
        <v>6</v>
      </c>
    </row>
    <row r="38" spans="1:2" x14ac:dyDescent="0.35">
      <c r="A38" s="19" t="s">
        <v>278</v>
      </c>
      <c r="B38">
        <v>10</v>
      </c>
    </row>
    <row r="39" spans="1:2" x14ac:dyDescent="0.35">
      <c r="A39" s="19" t="s">
        <v>279</v>
      </c>
      <c r="B39">
        <v>18</v>
      </c>
    </row>
    <row r="40" spans="1:2" x14ac:dyDescent="0.35">
      <c r="A40" s="19" t="s">
        <v>280</v>
      </c>
      <c r="B40">
        <v>9</v>
      </c>
    </row>
    <row r="41" spans="1:2" x14ac:dyDescent="0.35">
      <c r="A41" s="19" t="s">
        <v>281</v>
      </c>
      <c r="B41">
        <v>14</v>
      </c>
    </row>
    <row r="42" spans="1:2" x14ac:dyDescent="0.35">
      <c r="A42" s="19" t="s">
        <v>282</v>
      </c>
      <c r="B42">
        <v>6</v>
      </c>
    </row>
    <row r="43" spans="1:2" x14ac:dyDescent="0.35">
      <c r="A43" s="19" t="s">
        <v>283</v>
      </c>
      <c r="B43">
        <v>9</v>
      </c>
    </row>
    <row r="44" spans="1:2" x14ac:dyDescent="0.35">
      <c r="A44" s="19" t="s">
        <v>284</v>
      </c>
      <c r="B44">
        <v>7</v>
      </c>
    </row>
    <row r="45" spans="1:2" x14ac:dyDescent="0.35">
      <c r="A45" s="20" t="s">
        <v>285</v>
      </c>
      <c r="B45">
        <v>58</v>
      </c>
    </row>
    <row r="46" spans="1:2" x14ac:dyDescent="0.35">
      <c r="A46" s="19" t="s">
        <v>286</v>
      </c>
      <c r="B46">
        <v>18</v>
      </c>
    </row>
    <row r="47" spans="1:2" x14ac:dyDescent="0.35">
      <c r="A47" s="19" t="s">
        <v>287</v>
      </c>
      <c r="B47">
        <v>15</v>
      </c>
    </row>
    <row r="48" spans="1:2" x14ac:dyDescent="0.35">
      <c r="A48" s="19" t="s">
        <v>288</v>
      </c>
      <c r="B48">
        <v>10</v>
      </c>
    </row>
    <row r="49" spans="1:2" x14ac:dyDescent="0.35">
      <c r="A49" s="19" t="s">
        <v>289</v>
      </c>
      <c r="B49">
        <v>15</v>
      </c>
    </row>
    <row r="50" spans="1:2" x14ac:dyDescent="0.35">
      <c r="A50" s="20" t="s">
        <v>290</v>
      </c>
      <c r="B50">
        <v>162</v>
      </c>
    </row>
    <row r="51" spans="1:2" x14ac:dyDescent="0.35">
      <c r="A51" s="19" t="s">
        <v>291</v>
      </c>
      <c r="B51">
        <v>15</v>
      </c>
    </row>
    <row r="52" spans="1:2" x14ac:dyDescent="0.35">
      <c r="A52" s="19" t="s">
        <v>292</v>
      </c>
      <c r="B52">
        <v>23</v>
      </c>
    </row>
    <row r="53" spans="1:2" x14ac:dyDescent="0.35">
      <c r="A53" s="19" t="s">
        <v>293</v>
      </c>
      <c r="B53">
        <v>16</v>
      </c>
    </row>
    <row r="54" spans="1:2" x14ac:dyDescent="0.35">
      <c r="A54" s="19" t="s">
        <v>294</v>
      </c>
      <c r="B54">
        <v>18</v>
      </c>
    </row>
    <row r="55" spans="1:2" x14ac:dyDescent="0.35">
      <c r="A55" s="19" t="s">
        <v>295</v>
      </c>
      <c r="B55">
        <v>17</v>
      </c>
    </row>
    <row r="56" spans="1:2" x14ac:dyDescent="0.35">
      <c r="A56" s="19" t="s">
        <v>296</v>
      </c>
      <c r="B56">
        <v>22</v>
      </c>
    </row>
    <row r="57" spans="1:2" x14ac:dyDescent="0.35">
      <c r="A57" s="19" t="s">
        <v>297</v>
      </c>
      <c r="B57">
        <v>26</v>
      </c>
    </row>
    <row r="58" spans="1:2" x14ac:dyDescent="0.35">
      <c r="A58" s="19" t="s">
        <v>298</v>
      </c>
      <c r="B58">
        <v>25</v>
      </c>
    </row>
    <row r="59" spans="1:2" x14ac:dyDescent="0.35">
      <c r="A59" s="20" t="s">
        <v>299</v>
      </c>
      <c r="B59">
        <v>214</v>
      </c>
    </row>
    <row r="60" spans="1:2" x14ac:dyDescent="0.35">
      <c r="A60" s="19" t="s">
        <v>300</v>
      </c>
      <c r="B60">
        <v>10</v>
      </c>
    </row>
    <row r="61" spans="1:2" x14ac:dyDescent="0.35">
      <c r="A61" s="19" t="s">
        <v>301</v>
      </c>
      <c r="B61">
        <v>21</v>
      </c>
    </row>
    <row r="62" spans="1:2" x14ac:dyDescent="0.35">
      <c r="A62" s="19" t="s">
        <v>302</v>
      </c>
      <c r="B62">
        <v>22</v>
      </c>
    </row>
    <row r="63" spans="1:2" x14ac:dyDescent="0.35">
      <c r="A63" s="19" t="s">
        <v>303</v>
      </c>
      <c r="B63">
        <v>12</v>
      </c>
    </row>
    <row r="64" spans="1:2" x14ac:dyDescent="0.35">
      <c r="A64" s="19" t="s">
        <v>304</v>
      </c>
      <c r="B64">
        <v>11</v>
      </c>
    </row>
    <row r="65" spans="1:2" x14ac:dyDescent="0.35">
      <c r="A65" s="19" t="s">
        <v>305</v>
      </c>
      <c r="B65">
        <v>24</v>
      </c>
    </row>
    <row r="66" spans="1:2" x14ac:dyDescent="0.35">
      <c r="A66" s="19" t="s">
        <v>306</v>
      </c>
      <c r="B66">
        <v>12</v>
      </c>
    </row>
    <row r="67" spans="1:2" x14ac:dyDescent="0.35">
      <c r="A67" s="19" t="s">
        <v>307</v>
      </c>
      <c r="B67">
        <v>24</v>
      </c>
    </row>
    <row r="68" spans="1:2" x14ac:dyDescent="0.35">
      <c r="A68" s="19" t="s">
        <v>308</v>
      </c>
      <c r="B68">
        <v>12</v>
      </c>
    </row>
    <row r="69" spans="1:2" x14ac:dyDescent="0.35">
      <c r="A69" s="19" t="s">
        <v>309</v>
      </c>
      <c r="B69">
        <v>24</v>
      </c>
    </row>
    <row r="70" spans="1:2" x14ac:dyDescent="0.35">
      <c r="A70" s="19" t="s">
        <v>310</v>
      </c>
      <c r="B70">
        <v>17</v>
      </c>
    </row>
    <row r="71" spans="1:2" x14ac:dyDescent="0.35">
      <c r="A71" s="19" t="s">
        <v>311</v>
      </c>
      <c r="B71">
        <v>25</v>
      </c>
    </row>
    <row r="72" spans="1:2" x14ac:dyDescent="0.35">
      <c r="A72" s="20" t="s">
        <v>312</v>
      </c>
      <c r="B72">
        <v>192</v>
      </c>
    </row>
    <row r="73" spans="1:2" x14ac:dyDescent="0.35">
      <c r="A73" s="19" t="s">
        <v>313</v>
      </c>
      <c r="B73">
        <v>19</v>
      </c>
    </row>
    <row r="74" spans="1:2" x14ac:dyDescent="0.35">
      <c r="A74" s="19" t="s">
        <v>314</v>
      </c>
      <c r="B74">
        <v>15</v>
      </c>
    </row>
    <row r="75" spans="1:2" x14ac:dyDescent="0.35">
      <c r="A75" s="19" t="s">
        <v>315</v>
      </c>
      <c r="B75">
        <v>18</v>
      </c>
    </row>
    <row r="76" spans="1:2" x14ac:dyDescent="0.35">
      <c r="A76" s="19" t="s">
        <v>316</v>
      </c>
      <c r="B76">
        <v>21</v>
      </c>
    </row>
    <row r="77" spans="1:2" x14ac:dyDescent="0.35">
      <c r="A77" s="19" t="s">
        <v>317</v>
      </c>
      <c r="B77">
        <v>13</v>
      </c>
    </row>
    <row r="78" spans="1:2" x14ac:dyDescent="0.35">
      <c r="A78" s="19" t="s">
        <v>318</v>
      </c>
      <c r="B78">
        <v>13</v>
      </c>
    </row>
    <row r="79" spans="1:2" x14ac:dyDescent="0.35">
      <c r="A79" s="19" t="s">
        <v>319</v>
      </c>
      <c r="B79">
        <v>11</v>
      </c>
    </row>
    <row r="80" spans="1:2" x14ac:dyDescent="0.35">
      <c r="A80" s="19" t="s">
        <v>320</v>
      </c>
      <c r="B80">
        <v>8</v>
      </c>
    </row>
    <row r="81" spans="1:2" x14ac:dyDescent="0.35">
      <c r="A81" s="19" t="s">
        <v>321</v>
      </c>
      <c r="B81">
        <v>25</v>
      </c>
    </row>
    <row r="82" spans="1:2" x14ac:dyDescent="0.35">
      <c r="A82" s="19" t="s">
        <v>322</v>
      </c>
      <c r="B82">
        <v>24</v>
      </c>
    </row>
    <row r="83" spans="1:2" x14ac:dyDescent="0.35">
      <c r="A83" s="19" t="s">
        <v>323</v>
      </c>
      <c r="B83">
        <v>25</v>
      </c>
    </row>
    <row r="84" spans="1:2" x14ac:dyDescent="0.35">
      <c r="A84" s="20" t="s">
        <v>324</v>
      </c>
      <c r="B84">
        <v>189</v>
      </c>
    </row>
    <row r="85" spans="1:2" x14ac:dyDescent="0.35">
      <c r="A85" s="19" t="s">
        <v>325</v>
      </c>
      <c r="B85">
        <v>11</v>
      </c>
    </row>
    <row r="86" spans="1:2" x14ac:dyDescent="0.35">
      <c r="A86" s="19" t="s">
        <v>326</v>
      </c>
      <c r="B86">
        <v>13</v>
      </c>
    </row>
    <row r="87" spans="1:2" x14ac:dyDescent="0.35">
      <c r="A87" s="19" t="s">
        <v>327</v>
      </c>
      <c r="B87">
        <v>11</v>
      </c>
    </row>
    <row r="88" spans="1:2" x14ac:dyDescent="0.35">
      <c r="A88" s="19" t="s">
        <v>328</v>
      </c>
      <c r="B88">
        <v>13</v>
      </c>
    </row>
    <row r="89" spans="1:2" x14ac:dyDescent="0.35">
      <c r="A89" s="19" t="s">
        <v>329</v>
      </c>
      <c r="B89">
        <v>15</v>
      </c>
    </row>
    <row r="90" spans="1:2" x14ac:dyDescent="0.35">
      <c r="A90" s="19" t="s">
        <v>330</v>
      </c>
      <c r="B90">
        <v>16</v>
      </c>
    </row>
    <row r="91" spans="1:2" x14ac:dyDescent="0.35">
      <c r="A91" s="19" t="s">
        <v>331</v>
      </c>
      <c r="B91">
        <v>16</v>
      </c>
    </row>
    <row r="92" spans="1:2" x14ac:dyDescent="0.35">
      <c r="A92" s="19" t="s">
        <v>332</v>
      </c>
      <c r="B92">
        <v>16</v>
      </c>
    </row>
    <row r="93" spans="1:2" x14ac:dyDescent="0.35">
      <c r="A93" s="19" t="s">
        <v>333</v>
      </c>
      <c r="B93">
        <v>14</v>
      </c>
    </row>
    <row r="94" spans="1:2" x14ac:dyDescent="0.35">
      <c r="A94" s="19" t="s">
        <v>334</v>
      </c>
      <c r="B94">
        <v>19</v>
      </c>
    </row>
    <row r="95" spans="1:2" x14ac:dyDescent="0.35">
      <c r="A95" s="19" t="s">
        <v>335</v>
      </c>
      <c r="B95">
        <v>10</v>
      </c>
    </row>
    <row r="96" spans="1:2" x14ac:dyDescent="0.35">
      <c r="A96" s="19" t="s">
        <v>336</v>
      </c>
      <c r="B96">
        <v>13</v>
      </c>
    </row>
    <row r="97" spans="1:2" x14ac:dyDescent="0.35">
      <c r="A97" s="19" t="s">
        <v>337</v>
      </c>
      <c r="B97">
        <v>10</v>
      </c>
    </row>
    <row r="98" spans="1:2" x14ac:dyDescent="0.35">
      <c r="A98" s="19" t="s">
        <v>338</v>
      </c>
      <c r="B98">
        <v>12</v>
      </c>
    </row>
    <row r="99" spans="1:2" x14ac:dyDescent="0.35">
      <c r="A99" s="20" t="s">
        <v>339</v>
      </c>
      <c r="B99">
        <v>207</v>
      </c>
    </row>
    <row r="100" spans="1:2" x14ac:dyDescent="0.35">
      <c r="A100" s="19" t="s">
        <v>340</v>
      </c>
      <c r="B100">
        <v>15</v>
      </c>
    </row>
    <row r="101" spans="1:2" x14ac:dyDescent="0.35">
      <c r="A101" s="19" t="s">
        <v>341</v>
      </c>
      <c r="B101">
        <v>12</v>
      </c>
    </row>
    <row r="102" spans="1:2" x14ac:dyDescent="0.35">
      <c r="A102" s="19" t="s">
        <v>342</v>
      </c>
      <c r="B102">
        <v>21</v>
      </c>
    </row>
    <row r="103" spans="1:2" x14ac:dyDescent="0.35">
      <c r="A103" s="19" t="s">
        <v>343</v>
      </c>
      <c r="B103">
        <v>21</v>
      </c>
    </row>
    <row r="104" spans="1:2" x14ac:dyDescent="0.35">
      <c r="A104" s="19" t="s">
        <v>344</v>
      </c>
      <c r="B104">
        <v>4</v>
      </c>
    </row>
    <row r="105" spans="1:2" x14ac:dyDescent="0.35">
      <c r="A105" s="19" t="s">
        <v>345</v>
      </c>
      <c r="B105">
        <v>15</v>
      </c>
    </row>
    <row r="106" spans="1:2" x14ac:dyDescent="0.35">
      <c r="A106" s="19" t="s">
        <v>346</v>
      </c>
      <c r="B106">
        <v>17</v>
      </c>
    </row>
    <row r="107" spans="1:2" x14ac:dyDescent="0.35">
      <c r="A107" s="19" t="s">
        <v>347</v>
      </c>
      <c r="B107">
        <v>19</v>
      </c>
    </row>
    <row r="108" spans="1:2" x14ac:dyDescent="0.35">
      <c r="A108" s="19" t="s">
        <v>348</v>
      </c>
      <c r="B108">
        <v>17</v>
      </c>
    </row>
    <row r="109" spans="1:2" x14ac:dyDescent="0.35">
      <c r="A109" s="19" t="s">
        <v>349</v>
      </c>
      <c r="B109">
        <v>14</v>
      </c>
    </row>
    <row r="110" spans="1:2" x14ac:dyDescent="0.35">
      <c r="A110" s="19" t="s">
        <v>350</v>
      </c>
      <c r="B110">
        <v>9</v>
      </c>
    </row>
    <row r="111" spans="1:2" x14ac:dyDescent="0.35">
      <c r="A111" s="19" t="s">
        <v>351</v>
      </c>
      <c r="B111">
        <v>16</v>
      </c>
    </row>
    <row r="112" spans="1:2" x14ac:dyDescent="0.35">
      <c r="A112" s="19" t="s">
        <v>352</v>
      </c>
      <c r="B112">
        <v>14</v>
      </c>
    </row>
    <row r="113" spans="1:2" x14ac:dyDescent="0.35">
      <c r="A113" s="19" t="s">
        <v>353</v>
      </c>
      <c r="B113">
        <v>13</v>
      </c>
    </row>
    <row r="114" spans="1:2" x14ac:dyDescent="0.35">
      <c r="A114" s="20" t="s">
        <v>358</v>
      </c>
      <c r="B114" s="16">
        <v>1545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0069-0AE7-43FE-B1DF-542CC79D942F}">
  <dimension ref="A1:F28"/>
  <sheetViews>
    <sheetView workbookViewId="0">
      <selection activeCell="E18" sqref="E18"/>
    </sheetView>
  </sheetViews>
  <sheetFormatPr defaultRowHeight="14.5" x14ac:dyDescent="0.35"/>
  <cols>
    <col min="1" max="1" width="13.26953125" bestFit="1" customWidth="1"/>
    <col min="2" max="2" width="14.54296875" bestFit="1" customWidth="1"/>
    <col min="3" max="3" width="13.26953125" bestFit="1" customWidth="1"/>
    <col min="4" max="4" width="22.54296875" bestFit="1" customWidth="1"/>
    <col min="5" max="5" width="39.81640625" bestFit="1" customWidth="1"/>
    <col min="6" max="6" width="11.81640625" bestFit="1" customWidth="1"/>
  </cols>
  <sheetData>
    <row r="1" spans="1:6" x14ac:dyDescent="0.35">
      <c r="A1" s="12" t="s">
        <v>483</v>
      </c>
    </row>
    <row r="3" spans="1:6" x14ac:dyDescent="0.35">
      <c r="A3" t="s">
        <v>227</v>
      </c>
      <c r="B3" t="s">
        <v>231</v>
      </c>
      <c r="C3" t="s">
        <v>414</v>
      </c>
      <c r="D3" t="s">
        <v>415</v>
      </c>
      <c r="E3" t="s">
        <v>416</v>
      </c>
      <c r="F3" t="s">
        <v>417</v>
      </c>
    </row>
    <row r="4" spans="1:6" x14ac:dyDescent="0.35">
      <c r="A4" t="s">
        <v>261</v>
      </c>
      <c r="B4" t="s">
        <v>270</v>
      </c>
      <c r="C4" t="s">
        <v>418</v>
      </c>
      <c r="D4" t="s">
        <v>419</v>
      </c>
      <c r="E4" t="s">
        <v>420</v>
      </c>
      <c r="F4" t="s">
        <v>411</v>
      </c>
    </row>
    <row r="5" spans="1:6" x14ac:dyDescent="0.35">
      <c r="A5" t="s">
        <v>261</v>
      </c>
      <c r="B5" t="s">
        <v>270</v>
      </c>
      <c r="C5" t="s">
        <v>421</v>
      </c>
      <c r="D5" t="s">
        <v>422</v>
      </c>
      <c r="E5" t="s">
        <v>423</v>
      </c>
      <c r="F5" t="s">
        <v>411</v>
      </c>
    </row>
    <row r="6" spans="1:6" x14ac:dyDescent="0.35">
      <c r="A6" t="s">
        <v>261</v>
      </c>
      <c r="B6" t="s">
        <v>270</v>
      </c>
      <c r="C6" t="s">
        <v>424</v>
      </c>
      <c r="D6" t="s">
        <v>425</v>
      </c>
      <c r="E6" t="s">
        <v>426</v>
      </c>
      <c r="F6" t="s">
        <v>411</v>
      </c>
    </row>
    <row r="7" spans="1:6" x14ac:dyDescent="0.35">
      <c r="A7" t="s">
        <v>261</v>
      </c>
      <c r="B7" t="s">
        <v>270</v>
      </c>
      <c r="C7" t="s">
        <v>427</v>
      </c>
      <c r="D7" t="s">
        <v>428</v>
      </c>
      <c r="E7" t="s">
        <v>429</v>
      </c>
      <c r="F7" t="s">
        <v>411</v>
      </c>
    </row>
    <row r="8" spans="1:6" x14ac:dyDescent="0.35">
      <c r="A8" t="s">
        <v>261</v>
      </c>
      <c r="B8" t="s">
        <v>270</v>
      </c>
      <c r="C8" t="s">
        <v>430</v>
      </c>
      <c r="D8" t="s">
        <v>431</v>
      </c>
      <c r="E8" t="s">
        <v>432</v>
      </c>
      <c r="F8" t="s">
        <v>411</v>
      </c>
    </row>
    <row r="9" spans="1:6" x14ac:dyDescent="0.35">
      <c r="A9" t="s">
        <v>261</v>
      </c>
      <c r="B9" t="s">
        <v>270</v>
      </c>
      <c r="C9" t="s">
        <v>433</v>
      </c>
      <c r="D9" t="s">
        <v>434</v>
      </c>
      <c r="E9" t="s">
        <v>435</v>
      </c>
      <c r="F9" t="s">
        <v>411</v>
      </c>
    </row>
    <row r="10" spans="1:6" x14ac:dyDescent="0.35">
      <c r="A10" t="s">
        <v>261</v>
      </c>
      <c r="B10" t="s">
        <v>270</v>
      </c>
      <c r="C10" t="s">
        <v>436</v>
      </c>
      <c r="D10" t="s">
        <v>437</v>
      </c>
      <c r="E10" t="s">
        <v>438</v>
      </c>
      <c r="F10" t="s">
        <v>411</v>
      </c>
    </row>
    <row r="11" spans="1:6" x14ac:dyDescent="0.35">
      <c r="A11" t="s">
        <v>261</v>
      </c>
      <c r="B11" t="s">
        <v>270</v>
      </c>
      <c r="C11" t="s">
        <v>436</v>
      </c>
      <c r="D11" t="s">
        <v>437</v>
      </c>
      <c r="E11" t="s">
        <v>439</v>
      </c>
      <c r="F11" t="s">
        <v>411</v>
      </c>
    </row>
    <row r="12" spans="1:6" x14ac:dyDescent="0.35">
      <c r="A12" t="s">
        <v>261</v>
      </c>
      <c r="B12" t="s">
        <v>270</v>
      </c>
      <c r="C12" t="s">
        <v>440</v>
      </c>
      <c r="D12" t="s">
        <v>441</v>
      </c>
      <c r="E12" t="s">
        <v>442</v>
      </c>
      <c r="F12" t="s">
        <v>411</v>
      </c>
    </row>
    <row r="13" spans="1:6" x14ac:dyDescent="0.35">
      <c r="A13" t="s">
        <v>261</v>
      </c>
      <c r="B13" t="s">
        <v>270</v>
      </c>
      <c r="C13" t="s">
        <v>443</v>
      </c>
      <c r="D13" t="s">
        <v>444</v>
      </c>
      <c r="E13" t="s">
        <v>445</v>
      </c>
      <c r="F13" t="s">
        <v>411</v>
      </c>
    </row>
    <row r="14" spans="1:6" x14ac:dyDescent="0.35">
      <c r="A14" t="s">
        <v>261</v>
      </c>
      <c r="B14" t="s">
        <v>270</v>
      </c>
      <c r="C14" t="s">
        <v>446</v>
      </c>
      <c r="D14" t="s">
        <v>447</v>
      </c>
      <c r="E14" t="s">
        <v>448</v>
      </c>
      <c r="F14" t="s">
        <v>411</v>
      </c>
    </row>
    <row r="15" spans="1:6" x14ac:dyDescent="0.35">
      <c r="A15" t="s">
        <v>261</v>
      </c>
      <c r="B15" t="s">
        <v>270</v>
      </c>
      <c r="C15" t="s">
        <v>449</v>
      </c>
      <c r="D15" t="s">
        <v>450</v>
      </c>
      <c r="E15" t="s">
        <v>451</v>
      </c>
      <c r="F15" t="s">
        <v>411</v>
      </c>
    </row>
    <row r="16" spans="1:6" x14ac:dyDescent="0.35">
      <c r="A16" t="s">
        <v>261</v>
      </c>
      <c r="B16" t="s">
        <v>270</v>
      </c>
      <c r="C16" t="s">
        <v>452</v>
      </c>
      <c r="D16" t="s">
        <v>453</v>
      </c>
      <c r="E16" t="s">
        <v>454</v>
      </c>
      <c r="F16" t="s">
        <v>411</v>
      </c>
    </row>
    <row r="17" spans="1:6" x14ac:dyDescent="0.35">
      <c r="A17" t="s">
        <v>261</v>
      </c>
      <c r="B17" t="s">
        <v>270</v>
      </c>
      <c r="C17" t="s">
        <v>452</v>
      </c>
      <c r="D17" t="s">
        <v>453</v>
      </c>
      <c r="E17" t="s">
        <v>455</v>
      </c>
      <c r="F17" t="s">
        <v>411</v>
      </c>
    </row>
    <row r="18" spans="1:6" x14ac:dyDescent="0.35">
      <c r="A18" t="s">
        <v>261</v>
      </c>
      <c r="B18" t="s">
        <v>270</v>
      </c>
      <c r="C18" t="s">
        <v>452</v>
      </c>
      <c r="D18" t="s">
        <v>453</v>
      </c>
      <c r="E18" t="s">
        <v>456</v>
      </c>
      <c r="F18" t="s">
        <v>411</v>
      </c>
    </row>
    <row r="19" spans="1:6" x14ac:dyDescent="0.35">
      <c r="A19" t="s">
        <v>261</v>
      </c>
      <c r="B19" t="s">
        <v>270</v>
      </c>
      <c r="C19" t="s">
        <v>452</v>
      </c>
      <c r="D19" t="s">
        <v>453</v>
      </c>
      <c r="E19" t="s">
        <v>457</v>
      </c>
      <c r="F19" t="s">
        <v>411</v>
      </c>
    </row>
    <row r="20" spans="1:6" x14ac:dyDescent="0.35">
      <c r="A20" t="s">
        <v>261</v>
      </c>
      <c r="B20" t="s">
        <v>270</v>
      </c>
      <c r="C20" t="s">
        <v>458</v>
      </c>
      <c r="D20" t="s">
        <v>459</v>
      </c>
      <c r="E20" t="s">
        <v>460</v>
      </c>
      <c r="F20" t="s">
        <v>411</v>
      </c>
    </row>
    <row r="21" spans="1:6" x14ac:dyDescent="0.35">
      <c r="A21" t="s">
        <v>261</v>
      </c>
      <c r="B21" t="s">
        <v>270</v>
      </c>
      <c r="C21" t="s">
        <v>461</v>
      </c>
      <c r="D21" t="s">
        <v>462</v>
      </c>
      <c r="E21" t="s">
        <v>463</v>
      </c>
      <c r="F21" t="s">
        <v>411</v>
      </c>
    </row>
    <row r="22" spans="1:6" x14ac:dyDescent="0.35">
      <c r="A22" t="s">
        <v>261</v>
      </c>
      <c r="B22" t="s">
        <v>270</v>
      </c>
      <c r="C22" t="s">
        <v>461</v>
      </c>
      <c r="D22" t="s">
        <v>462</v>
      </c>
      <c r="E22" t="s">
        <v>464</v>
      </c>
      <c r="F22" t="s">
        <v>411</v>
      </c>
    </row>
    <row r="23" spans="1:6" x14ac:dyDescent="0.35">
      <c r="A23" t="s">
        <v>261</v>
      </c>
      <c r="B23" t="s">
        <v>270</v>
      </c>
      <c r="C23" t="s">
        <v>465</v>
      </c>
      <c r="D23" t="s">
        <v>466</v>
      </c>
      <c r="E23" t="s">
        <v>467</v>
      </c>
      <c r="F23" t="s">
        <v>411</v>
      </c>
    </row>
    <row r="24" spans="1:6" x14ac:dyDescent="0.35">
      <c r="A24" t="s">
        <v>261</v>
      </c>
      <c r="B24" t="s">
        <v>270</v>
      </c>
      <c r="C24" t="s">
        <v>468</v>
      </c>
      <c r="D24" t="s">
        <v>469</v>
      </c>
      <c r="E24" t="s">
        <v>470</v>
      </c>
      <c r="F24" t="s">
        <v>411</v>
      </c>
    </row>
    <row r="25" spans="1:6" x14ac:dyDescent="0.35">
      <c r="A25" t="s">
        <v>261</v>
      </c>
      <c r="B25" t="s">
        <v>270</v>
      </c>
      <c r="C25" t="s">
        <v>471</v>
      </c>
      <c r="D25" t="s">
        <v>472</v>
      </c>
      <c r="E25" t="s">
        <v>473</v>
      </c>
      <c r="F25" t="s">
        <v>411</v>
      </c>
    </row>
    <row r="26" spans="1:6" x14ac:dyDescent="0.35">
      <c r="A26" t="s">
        <v>261</v>
      </c>
      <c r="B26" t="s">
        <v>270</v>
      </c>
      <c r="C26" t="s">
        <v>474</v>
      </c>
      <c r="D26" t="s">
        <v>475</v>
      </c>
      <c r="E26" t="s">
        <v>476</v>
      </c>
      <c r="F26" t="s">
        <v>411</v>
      </c>
    </row>
    <row r="27" spans="1:6" x14ac:dyDescent="0.35">
      <c r="A27" t="s">
        <v>261</v>
      </c>
      <c r="B27" t="s">
        <v>270</v>
      </c>
      <c r="C27" t="s">
        <v>477</v>
      </c>
      <c r="D27" t="s">
        <v>478</v>
      </c>
      <c r="E27" t="s">
        <v>479</v>
      </c>
      <c r="F27" t="s">
        <v>411</v>
      </c>
    </row>
    <row r="28" spans="1:6" x14ac:dyDescent="0.35">
      <c r="A28" t="s">
        <v>261</v>
      </c>
      <c r="B28" t="s">
        <v>270</v>
      </c>
      <c r="C28" t="s">
        <v>480</v>
      </c>
      <c r="D28" t="s">
        <v>481</v>
      </c>
      <c r="E28" t="s">
        <v>482</v>
      </c>
      <c r="F28" t="s">
        <v>411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A143-9F9E-444C-A3CD-902D450115F4}">
  <dimension ref="A1:B116"/>
  <sheetViews>
    <sheetView topLeftCell="A10" workbookViewId="0">
      <selection activeCell="B30" sqref="B30"/>
    </sheetView>
  </sheetViews>
  <sheetFormatPr defaultRowHeight="14.5" x14ac:dyDescent="0.35"/>
  <cols>
    <col min="1" max="1" width="27.81640625" bestFit="1" customWidth="1"/>
    <col min="2" max="2" width="11.26953125" bestFit="1" customWidth="1"/>
  </cols>
  <sheetData>
    <row r="1" spans="1:2" x14ac:dyDescent="0.35">
      <c r="A1" s="21" t="s">
        <v>239</v>
      </c>
      <c r="B1" t="s">
        <v>356</v>
      </c>
    </row>
    <row r="2" spans="1:2" x14ac:dyDescent="0.35">
      <c r="A2" s="20" t="s">
        <v>241</v>
      </c>
      <c r="B2">
        <v>275</v>
      </c>
    </row>
    <row r="3" spans="1:2" x14ac:dyDescent="0.35">
      <c r="A3" s="19" t="s">
        <v>243</v>
      </c>
      <c r="B3">
        <v>31</v>
      </c>
    </row>
    <row r="4" spans="1:2" x14ac:dyDescent="0.35">
      <c r="A4" s="19" t="s">
        <v>244</v>
      </c>
      <c r="B4">
        <v>30</v>
      </c>
    </row>
    <row r="5" spans="1:2" x14ac:dyDescent="0.35">
      <c r="A5" s="19" t="s">
        <v>245</v>
      </c>
      <c r="B5">
        <v>20</v>
      </c>
    </row>
    <row r="6" spans="1:2" x14ac:dyDescent="0.35">
      <c r="A6" s="19" t="s">
        <v>246</v>
      </c>
      <c r="B6">
        <v>27</v>
      </c>
    </row>
    <row r="7" spans="1:2" x14ac:dyDescent="0.35">
      <c r="A7" s="19" t="s">
        <v>247</v>
      </c>
      <c r="B7">
        <v>39</v>
      </c>
    </row>
    <row r="8" spans="1:2" x14ac:dyDescent="0.35">
      <c r="A8" s="19" t="s">
        <v>248</v>
      </c>
      <c r="B8">
        <v>30</v>
      </c>
    </row>
    <row r="9" spans="1:2" x14ac:dyDescent="0.35">
      <c r="A9" s="19" t="s">
        <v>249</v>
      </c>
      <c r="B9">
        <v>24</v>
      </c>
    </row>
    <row r="10" spans="1:2" x14ac:dyDescent="0.35">
      <c r="A10" s="19" t="s">
        <v>250</v>
      </c>
      <c r="B10">
        <v>23</v>
      </c>
    </row>
    <row r="11" spans="1:2" x14ac:dyDescent="0.35">
      <c r="A11" s="19" t="s">
        <v>251</v>
      </c>
      <c r="B11">
        <v>17</v>
      </c>
    </row>
    <row r="12" spans="1:2" x14ac:dyDescent="0.35">
      <c r="A12" s="19" t="s">
        <v>252</v>
      </c>
      <c r="B12">
        <v>34</v>
      </c>
    </row>
    <row r="13" spans="1:2" x14ac:dyDescent="0.35">
      <c r="A13" s="20" t="s">
        <v>253</v>
      </c>
      <c r="B13">
        <v>222</v>
      </c>
    </row>
    <row r="14" spans="1:2" x14ac:dyDescent="0.35">
      <c r="A14" s="19" t="s">
        <v>254</v>
      </c>
      <c r="B14">
        <v>14</v>
      </c>
    </row>
    <row r="15" spans="1:2" x14ac:dyDescent="0.35">
      <c r="A15" s="19" t="s">
        <v>255</v>
      </c>
      <c r="B15">
        <v>32</v>
      </c>
    </row>
    <row r="16" spans="1:2" x14ac:dyDescent="0.35">
      <c r="A16" s="19" t="s">
        <v>256</v>
      </c>
      <c r="B16">
        <v>37</v>
      </c>
    </row>
    <row r="17" spans="1:2" x14ac:dyDescent="0.35">
      <c r="A17" s="19" t="s">
        <v>257</v>
      </c>
      <c r="B17">
        <v>39</v>
      </c>
    </row>
    <row r="18" spans="1:2" x14ac:dyDescent="0.35">
      <c r="A18" s="19" t="s">
        <v>258</v>
      </c>
      <c r="B18">
        <v>36</v>
      </c>
    </row>
    <row r="19" spans="1:2" x14ac:dyDescent="0.35">
      <c r="A19" s="19" t="s">
        <v>259</v>
      </c>
      <c r="B19">
        <v>38</v>
      </c>
    </row>
    <row r="20" spans="1:2" x14ac:dyDescent="0.35">
      <c r="A20" s="19" t="s">
        <v>260</v>
      </c>
      <c r="B20">
        <v>26</v>
      </c>
    </row>
    <row r="21" spans="1:2" x14ac:dyDescent="0.35">
      <c r="A21" s="20" t="s">
        <v>261</v>
      </c>
      <c r="B21">
        <v>207</v>
      </c>
    </row>
    <row r="22" spans="1:2" x14ac:dyDescent="0.35">
      <c r="A22" s="19" t="s">
        <v>262</v>
      </c>
      <c r="B22">
        <v>13</v>
      </c>
    </row>
    <row r="23" spans="1:2" x14ac:dyDescent="0.35">
      <c r="A23" s="19" t="s">
        <v>263</v>
      </c>
      <c r="B23">
        <v>13</v>
      </c>
    </row>
    <row r="24" spans="1:2" x14ac:dyDescent="0.35">
      <c r="A24" s="19" t="s">
        <v>264</v>
      </c>
      <c r="B24">
        <v>28</v>
      </c>
    </row>
    <row r="25" spans="1:2" x14ac:dyDescent="0.35">
      <c r="A25" s="19" t="s">
        <v>265</v>
      </c>
      <c r="B25">
        <v>25</v>
      </c>
    </row>
    <row r="26" spans="1:2" x14ac:dyDescent="0.35">
      <c r="A26" s="19" t="s">
        <v>266</v>
      </c>
      <c r="B26">
        <v>14</v>
      </c>
    </row>
    <row r="27" spans="1:2" x14ac:dyDescent="0.35">
      <c r="A27" s="19" t="s">
        <v>267</v>
      </c>
      <c r="B27">
        <v>14</v>
      </c>
    </row>
    <row r="28" spans="1:2" x14ac:dyDescent="0.35">
      <c r="A28" s="19" t="s">
        <v>268</v>
      </c>
      <c r="B28">
        <v>17</v>
      </c>
    </row>
    <row r="29" spans="1:2" x14ac:dyDescent="0.35">
      <c r="A29" s="19" t="s">
        <v>269</v>
      </c>
      <c r="B29">
        <v>12</v>
      </c>
    </row>
    <row r="30" spans="1:2" x14ac:dyDescent="0.35">
      <c r="A30" s="19" t="s">
        <v>270</v>
      </c>
      <c r="B30">
        <v>25</v>
      </c>
    </row>
    <row r="31" spans="1:2" x14ac:dyDescent="0.35">
      <c r="A31" s="19" t="s">
        <v>271</v>
      </c>
      <c r="B31">
        <v>11</v>
      </c>
    </row>
    <row r="32" spans="1:2" x14ac:dyDescent="0.35">
      <c r="A32" s="19" t="s">
        <v>272</v>
      </c>
      <c r="B32">
        <v>10</v>
      </c>
    </row>
    <row r="33" spans="1:2" x14ac:dyDescent="0.35">
      <c r="A33" s="19" t="s">
        <v>273</v>
      </c>
      <c r="B33">
        <v>11</v>
      </c>
    </row>
    <row r="34" spans="1:2" x14ac:dyDescent="0.35">
      <c r="A34" s="19" t="s">
        <v>274</v>
      </c>
      <c r="B34">
        <v>14</v>
      </c>
    </row>
    <row r="35" spans="1:2" x14ac:dyDescent="0.35">
      <c r="A35" s="20" t="s">
        <v>275</v>
      </c>
      <c r="B35">
        <v>150</v>
      </c>
    </row>
    <row r="36" spans="1:2" x14ac:dyDescent="0.35">
      <c r="A36" s="19" t="s">
        <v>276</v>
      </c>
      <c r="B36">
        <v>16</v>
      </c>
    </row>
    <row r="37" spans="1:2" x14ac:dyDescent="0.35">
      <c r="A37" s="19" t="s">
        <v>277</v>
      </c>
      <c r="B37">
        <v>9</v>
      </c>
    </row>
    <row r="38" spans="1:2" x14ac:dyDescent="0.35">
      <c r="A38" s="19" t="s">
        <v>278</v>
      </c>
      <c r="B38">
        <v>14</v>
      </c>
    </row>
    <row r="39" spans="1:2" x14ac:dyDescent="0.35">
      <c r="A39" s="19" t="s">
        <v>279</v>
      </c>
      <c r="B39">
        <v>29</v>
      </c>
    </row>
    <row r="40" spans="1:2" x14ac:dyDescent="0.35">
      <c r="A40" s="19" t="s">
        <v>280</v>
      </c>
      <c r="B40">
        <v>18</v>
      </c>
    </row>
    <row r="41" spans="1:2" x14ac:dyDescent="0.35">
      <c r="A41" s="19" t="s">
        <v>281</v>
      </c>
      <c r="B41">
        <v>20</v>
      </c>
    </row>
    <row r="42" spans="1:2" x14ac:dyDescent="0.35">
      <c r="A42" s="19" t="s">
        <v>282</v>
      </c>
      <c r="B42">
        <v>12</v>
      </c>
    </row>
    <row r="43" spans="1:2" x14ac:dyDescent="0.35">
      <c r="A43" s="19" t="s">
        <v>283</v>
      </c>
      <c r="B43">
        <v>12</v>
      </c>
    </row>
    <row r="44" spans="1:2" x14ac:dyDescent="0.35">
      <c r="A44" s="19" t="s">
        <v>284</v>
      </c>
      <c r="B44">
        <v>20</v>
      </c>
    </row>
    <row r="45" spans="1:2" x14ac:dyDescent="0.35">
      <c r="A45" s="20" t="s">
        <v>285</v>
      </c>
      <c r="B45">
        <v>116</v>
      </c>
    </row>
    <row r="46" spans="1:2" x14ac:dyDescent="0.35">
      <c r="A46" s="19" t="s">
        <v>286</v>
      </c>
      <c r="B46">
        <v>38</v>
      </c>
    </row>
    <row r="47" spans="1:2" x14ac:dyDescent="0.35">
      <c r="A47" s="19" t="s">
        <v>287</v>
      </c>
      <c r="B47">
        <v>32</v>
      </c>
    </row>
    <row r="48" spans="1:2" x14ac:dyDescent="0.35">
      <c r="A48" s="19" t="s">
        <v>288</v>
      </c>
      <c r="B48">
        <v>23</v>
      </c>
    </row>
    <row r="49" spans="1:2" x14ac:dyDescent="0.35">
      <c r="A49" s="19" t="s">
        <v>289</v>
      </c>
      <c r="B49">
        <v>23</v>
      </c>
    </row>
    <row r="50" spans="1:2" x14ac:dyDescent="0.35">
      <c r="A50" s="20" t="s">
        <v>290</v>
      </c>
      <c r="B50">
        <v>233</v>
      </c>
    </row>
    <row r="51" spans="1:2" x14ac:dyDescent="0.35">
      <c r="A51" s="19" t="s">
        <v>291</v>
      </c>
      <c r="B51">
        <v>29</v>
      </c>
    </row>
    <row r="52" spans="1:2" x14ac:dyDescent="0.35">
      <c r="A52" s="19" t="s">
        <v>292</v>
      </c>
      <c r="B52">
        <v>30</v>
      </c>
    </row>
    <row r="53" spans="1:2" x14ac:dyDescent="0.35">
      <c r="A53" s="19" t="s">
        <v>293</v>
      </c>
      <c r="B53">
        <v>24</v>
      </c>
    </row>
    <row r="54" spans="1:2" x14ac:dyDescent="0.35">
      <c r="A54" s="19" t="s">
        <v>294</v>
      </c>
      <c r="B54">
        <v>29</v>
      </c>
    </row>
    <row r="55" spans="1:2" x14ac:dyDescent="0.35">
      <c r="A55" s="19" t="s">
        <v>295</v>
      </c>
      <c r="B55">
        <v>23</v>
      </c>
    </row>
    <row r="56" spans="1:2" x14ac:dyDescent="0.35">
      <c r="A56" s="19" t="s">
        <v>296</v>
      </c>
      <c r="B56">
        <v>32</v>
      </c>
    </row>
    <row r="57" spans="1:2" x14ac:dyDescent="0.35">
      <c r="A57" s="19" t="s">
        <v>297</v>
      </c>
      <c r="B57">
        <v>32</v>
      </c>
    </row>
    <row r="58" spans="1:2" x14ac:dyDescent="0.35">
      <c r="A58" s="19" t="s">
        <v>298</v>
      </c>
      <c r="B58">
        <v>34</v>
      </c>
    </row>
    <row r="59" spans="1:2" x14ac:dyDescent="0.35">
      <c r="A59" s="20" t="s">
        <v>299</v>
      </c>
      <c r="B59">
        <v>379</v>
      </c>
    </row>
    <row r="60" spans="1:2" x14ac:dyDescent="0.35">
      <c r="A60" s="19" t="s">
        <v>300</v>
      </c>
      <c r="B60">
        <v>17</v>
      </c>
    </row>
    <row r="61" spans="1:2" x14ac:dyDescent="0.35">
      <c r="A61" s="19" t="s">
        <v>301</v>
      </c>
      <c r="B61">
        <v>37</v>
      </c>
    </row>
    <row r="62" spans="1:2" x14ac:dyDescent="0.35">
      <c r="A62" s="19" t="s">
        <v>302</v>
      </c>
      <c r="B62">
        <v>39</v>
      </c>
    </row>
    <row r="63" spans="1:2" x14ac:dyDescent="0.35">
      <c r="A63" s="19" t="s">
        <v>303</v>
      </c>
      <c r="B63">
        <v>19</v>
      </c>
    </row>
    <row r="64" spans="1:2" x14ac:dyDescent="0.35">
      <c r="A64" s="19" t="s">
        <v>304</v>
      </c>
      <c r="B64">
        <v>18</v>
      </c>
    </row>
    <row r="65" spans="1:2" x14ac:dyDescent="0.35">
      <c r="A65" s="19" t="s">
        <v>305</v>
      </c>
      <c r="B65">
        <v>47</v>
      </c>
    </row>
    <row r="66" spans="1:2" x14ac:dyDescent="0.35">
      <c r="A66" s="19" t="s">
        <v>306</v>
      </c>
      <c r="B66">
        <v>19</v>
      </c>
    </row>
    <row r="67" spans="1:2" x14ac:dyDescent="0.35">
      <c r="A67" s="19" t="s">
        <v>307</v>
      </c>
      <c r="B67">
        <v>39</v>
      </c>
    </row>
    <row r="68" spans="1:2" x14ac:dyDescent="0.35">
      <c r="A68" s="19" t="s">
        <v>308</v>
      </c>
      <c r="B68">
        <v>26</v>
      </c>
    </row>
    <row r="69" spans="1:2" x14ac:dyDescent="0.35">
      <c r="A69" s="19" t="s">
        <v>309</v>
      </c>
      <c r="B69">
        <v>48</v>
      </c>
    </row>
    <row r="70" spans="1:2" x14ac:dyDescent="0.35">
      <c r="A70" s="19" t="s">
        <v>310</v>
      </c>
      <c r="B70">
        <v>30</v>
      </c>
    </row>
    <row r="71" spans="1:2" x14ac:dyDescent="0.35">
      <c r="A71" s="19" t="s">
        <v>311</v>
      </c>
      <c r="B71">
        <v>40</v>
      </c>
    </row>
    <row r="72" spans="1:2" x14ac:dyDescent="0.35">
      <c r="A72" s="20" t="s">
        <v>312</v>
      </c>
      <c r="B72">
        <v>313</v>
      </c>
    </row>
    <row r="73" spans="1:2" x14ac:dyDescent="0.35">
      <c r="A73" s="19" t="s">
        <v>313</v>
      </c>
      <c r="B73">
        <v>25</v>
      </c>
    </row>
    <row r="74" spans="1:2" x14ac:dyDescent="0.35">
      <c r="A74" s="19" t="s">
        <v>314</v>
      </c>
      <c r="B74">
        <v>21</v>
      </c>
    </row>
    <row r="75" spans="1:2" x14ac:dyDescent="0.35">
      <c r="A75" s="19" t="s">
        <v>315</v>
      </c>
      <c r="B75">
        <v>26</v>
      </c>
    </row>
    <row r="76" spans="1:2" x14ac:dyDescent="0.35">
      <c r="A76" s="19" t="s">
        <v>316</v>
      </c>
      <c r="B76">
        <v>28</v>
      </c>
    </row>
    <row r="77" spans="1:2" x14ac:dyDescent="0.35">
      <c r="A77" s="19" t="s">
        <v>317</v>
      </c>
      <c r="B77">
        <v>31</v>
      </c>
    </row>
    <row r="78" spans="1:2" x14ac:dyDescent="0.35">
      <c r="A78" s="19" t="s">
        <v>318</v>
      </c>
      <c r="B78">
        <v>33</v>
      </c>
    </row>
    <row r="79" spans="1:2" x14ac:dyDescent="0.35">
      <c r="A79" s="19" t="s">
        <v>319</v>
      </c>
      <c r="B79">
        <v>16</v>
      </c>
    </row>
    <row r="80" spans="1:2" x14ac:dyDescent="0.35">
      <c r="A80" s="19" t="s">
        <v>320</v>
      </c>
      <c r="B80">
        <v>18</v>
      </c>
    </row>
    <row r="81" spans="1:2" x14ac:dyDescent="0.35">
      <c r="A81" s="19" t="s">
        <v>321</v>
      </c>
      <c r="B81">
        <v>39</v>
      </c>
    </row>
    <row r="82" spans="1:2" x14ac:dyDescent="0.35">
      <c r="A82" s="19" t="s">
        <v>322</v>
      </c>
      <c r="B82">
        <v>37</v>
      </c>
    </row>
    <row r="83" spans="1:2" x14ac:dyDescent="0.35">
      <c r="A83" s="19" t="s">
        <v>323</v>
      </c>
      <c r="B83">
        <v>39</v>
      </c>
    </row>
    <row r="84" spans="1:2" x14ac:dyDescent="0.35">
      <c r="A84" s="20" t="s">
        <v>324</v>
      </c>
      <c r="B84">
        <v>357</v>
      </c>
    </row>
    <row r="85" spans="1:2" x14ac:dyDescent="0.35">
      <c r="A85" s="19" t="s">
        <v>325</v>
      </c>
      <c r="B85">
        <v>22</v>
      </c>
    </row>
    <row r="86" spans="1:2" x14ac:dyDescent="0.35">
      <c r="A86" s="19" t="s">
        <v>326</v>
      </c>
      <c r="B86">
        <v>32</v>
      </c>
    </row>
    <row r="87" spans="1:2" x14ac:dyDescent="0.35">
      <c r="A87" s="19" t="s">
        <v>327</v>
      </c>
      <c r="B87">
        <v>14</v>
      </c>
    </row>
    <row r="88" spans="1:2" x14ac:dyDescent="0.35">
      <c r="A88" s="19" t="s">
        <v>328</v>
      </c>
      <c r="B88">
        <v>23</v>
      </c>
    </row>
    <row r="89" spans="1:2" x14ac:dyDescent="0.35">
      <c r="A89" s="19" t="s">
        <v>329</v>
      </c>
      <c r="B89">
        <v>30</v>
      </c>
    </row>
    <row r="90" spans="1:2" x14ac:dyDescent="0.35">
      <c r="A90" s="19" t="s">
        <v>330</v>
      </c>
      <c r="B90">
        <v>33</v>
      </c>
    </row>
    <row r="91" spans="1:2" x14ac:dyDescent="0.35">
      <c r="A91" s="19" t="s">
        <v>331</v>
      </c>
      <c r="B91">
        <v>34</v>
      </c>
    </row>
    <row r="92" spans="1:2" x14ac:dyDescent="0.35">
      <c r="A92" s="19" t="s">
        <v>332</v>
      </c>
      <c r="B92">
        <v>30</v>
      </c>
    </row>
    <row r="93" spans="1:2" x14ac:dyDescent="0.35">
      <c r="A93" s="19" t="s">
        <v>333</v>
      </c>
      <c r="B93">
        <v>26</v>
      </c>
    </row>
    <row r="94" spans="1:2" x14ac:dyDescent="0.35">
      <c r="A94" s="19" t="s">
        <v>334</v>
      </c>
      <c r="B94">
        <v>35</v>
      </c>
    </row>
    <row r="95" spans="1:2" x14ac:dyDescent="0.35">
      <c r="A95" s="19" t="s">
        <v>335</v>
      </c>
      <c r="B95">
        <v>15</v>
      </c>
    </row>
    <row r="96" spans="1:2" x14ac:dyDescent="0.35">
      <c r="A96" s="19" t="s">
        <v>336</v>
      </c>
      <c r="B96">
        <v>24</v>
      </c>
    </row>
    <row r="97" spans="1:2" x14ac:dyDescent="0.35">
      <c r="A97" s="19" t="s">
        <v>337</v>
      </c>
      <c r="B97">
        <v>18</v>
      </c>
    </row>
    <row r="98" spans="1:2" x14ac:dyDescent="0.35">
      <c r="A98" s="19" t="s">
        <v>338</v>
      </c>
      <c r="B98">
        <v>21</v>
      </c>
    </row>
    <row r="99" spans="1:2" x14ac:dyDescent="0.35">
      <c r="A99" s="20" t="s">
        <v>339</v>
      </c>
      <c r="B99">
        <v>405</v>
      </c>
    </row>
    <row r="100" spans="1:2" x14ac:dyDescent="0.35">
      <c r="A100" s="19" t="s">
        <v>340</v>
      </c>
      <c r="B100">
        <v>41</v>
      </c>
    </row>
    <row r="101" spans="1:2" x14ac:dyDescent="0.35">
      <c r="A101" s="19" t="s">
        <v>341</v>
      </c>
      <c r="B101">
        <v>21</v>
      </c>
    </row>
    <row r="102" spans="1:2" x14ac:dyDescent="0.35">
      <c r="A102" s="19" t="s">
        <v>342</v>
      </c>
      <c r="B102">
        <v>37</v>
      </c>
    </row>
    <row r="103" spans="1:2" x14ac:dyDescent="0.35">
      <c r="A103" s="19" t="s">
        <v>343</v>
      </c>
      <c r="B103">
        <v>43</v>
      </c>
    </row>
    <row r="104" spans="1:2" x14ac:dyDescent="0.35">
      <c r="A104" s="19" t="s">
        <v>344</v>
      </c>
      <c r="B104">
        <v>17</v>
      </c>
    </row>
    <row r="105" spans="1:2" x14ac:dyDescent="0.35">
      <c r="A105" s="19" t="s">
        <v>345</v>
      </c>
      <c r="B105">
        <v>38</v>
      </c>
    </row>
    <row r="106" spans="1:2" x14ac:dyDescent="0.35">
      <c r="A106" s="19" t="s">
        <v>346</v>
      </c>
      <c r="B106">
        <v>26</v>
      </c>
    </row>
    <row r="107" spans="1:2" x14ac:dyDescent="0.35">
      <c r="A107" s="19" t="s">
        <v>347</v>
      </c>
      <c r="B107">
        <v>30</v>
      </c>
    </row>
    <row r="108" spans="1:2" x14ac:dyDescent="0.35">
      <c r="A108" s="19" t="s">
        <v>348</v>
      </c>
      <c r="B108">
        <v>31</v>
      </c>
    </row>
    <row r="109" spans="1:2" x14ac:dyDescent="0.35">
      <c r="A109" s="19" t="s">
        <v>349</v>
      </c>
      <c r="B109">
        <v>38</v>
      </c>
    </row>
    <row r="110" spans="1:2" x14ac:dyDescent="0.35">
      <c r="A110" s="19" t="s">
        <v>350</v>
      </c>
      <c r="B110">
        <v>21</v>
      </c>
    </row>
    <row r="111" spans="1:2" x14ac:dyDescent="0.35">
      <c r="A111" s="19" t="s">
        <v>351</v>
      </c>
      <c r="B111">
        <v>21</v>
      </c>
    </row>
    <row r="112" spans="1:2" x14ac:dyDescent="0.35">
      <c r="A112" s="19" t="s">
        <v>352</v>
      </c>
      <c r="B112">
        <v>20</v>
      </c>
    </row>
    <row r="113" spans="1:2" x14ac:dyDescent="0.35">
      <c r="A113" s="19" t="s">
        <v>353</v>
      </c>
      <c r="B113">
        <v>21</v>
      </c>
    </row>
    <row r="114" spans="1:2" x14ac:dyDescent="0.35">
      <c r="A114" s="20" t="s">
        <v>242</v>
      </c>
    </row>
    <row r="115" spans="1:2" x14ac:dyDescent="0.35">
      <c r="A115" s="19" t="s">
        <v>242</v>
      </c>
    </row>
    <row r="116" spans="1:2" x14ac:dyDescent="0.35">
      <c r="A116" s="20" t="s">
        <v>358</v>
      </c>
      <c r="B116">
        <v>2657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CAC6-E108-4F5E-B1BA-009B8D34BC88}">
  <dimension ref="A1:G117"/>
  <sheetViews>
    <sheetView workbookViewId="0">
      <selection activeCell="D39" sqref="D39"/>
    </sheetView>
  </sheetViews>
  <sheetFormatPr defaultRowHeight="14.5" x14ac:dyDescent="0.35"/>
  <cols>
    <col min="1" max="1" width="30.26953125" bestFit="1" customWidth="1"/>
    <col min="2" max="2" width="19.7265625" bestFit="1" customWidth="1"/>
    <col min="3" max="3" width="14.1796875" bestFit="1" customWidth="1"/>
    <col min="4" max="4" width="5.54296875" bestFit="1" customWidth="1"/>
    <col min="6" max="6" width="0" hidden="1" customWidth="1"/>
    <col min="7" max="7" width="11" bestFit="1" customWidth="1"/>
  </cols>
  <sheetData>
    <row r="1" spans="1:7" x14ac:dyDescent="0.35">
      <c r="A1" s="21" t="s">
        <v>406</v>
      </c>
      <c r="B1" s="21" t="s">
        <v>407</v>
      </c>
    </row>
    <row r="2" spans="1:7" x14ac:dyDescent="0.35">
      <c r="A2" s="21" t="s">
        <v>408</v>
      </c>
      <c r="B2" t="s">
        <v>409</v>
      </c>
      <c r="C2" t="s">
        <v>410</v>
      </c>
      <c r="D2" t="s">
        <v>411</v>
      </c>
      <c r="E2" t="s">
        <v>412</v>
      </c>
      <c r="F2" t="s">
        <v>242</v>
      </c>
      <c r="G2" t="s">
        <v>358</v>
      </c>
    </row>
    <row r="3" spans="1:7" x14ac:dyDescent="0.35">
      <c r="A3" s="20" t="s">
        <v>241</v>
      </c>
      <c r="B3">
        <v>8</v>
      </c>
      <c r="C3">
        <v>2</v>
      </c>
      <c r="D3">
        <v>255</v>
      </c>
      <c r="E3">
        <v>10</v>
      </c>
      <c r="G3">
        <v>275</v>
      </c>
    </row>
    <row r="4" spans="1:7" x14ac:dyDescent="0.35">
      <c r="A4" s="19" t="s">
        <v>243</v>
      </c>
      <c r="D4">
        <v>30</v>
      </c>
      <c r="E4">
        <v>1</v>
      </c>
      <c r="G4">
        <v>31</v>
      </c>
    </row>
    <row r="5" spans="1:7" x14ac:dyDescent="0.35">
      <c r="A5" s="19" t="s">
        <v>244</v>
      </c>
      <c r="B5">
        <v>3</v>
      </c>
      <c r="D5">
        <v>27</v>
      </c>
      <c r="G5">
        <v>30</v>
      </c>
    </row>
    <row r="6" spans="1:7" x14ac:dyDescent="0.35">
      <c r="A6" s="19" t="s">
        <v>245</v>
      </c>
      <c r="B6">
        <v>1</v>
      </c>
      <c r="D6">
        <v>19</v>
      </c>
      <c r="G6">
        <v>20</v>
      </c>
    </row>
    <row r="7" spans="1:7" x14ac:dyDescent="0.35">
      <c r="A7" s="19" t="s">
        <v>246</v>
      </c>
      <c r="D7">
        <v>26</v>
      </c>
      <c r="E7">
        <v>1</v>
      </c>
      <c r="G7">
        <v>27</v>
      </c>
    </row>
    <row r="8" spans="1:7" x14ac:dyDescent="0.35">
      <c r="A8" s="19" t="s">
        <v>247</v>
      </c>
      <c r="C8">
        <v>1</v>
      </c>
      <c r="D8">
        <v>35</v>
      </c>
      <c r="E8">
        <v>3</v>
      </c>
      <c r="G8">
        <v>39</v>
      </c>
    </row>
    <row r="9" spans="1:7" x14ac:dyDescent="0.35">
      <c r="A9" s="19" t="s">
        <v>248</v>
      </c>
      <c r="B9">
        <v>3</v>
      </c>
      <c r="D9">
        <v>27</v>
      </c>
      <c r="G9">
        <v>30</v>
      </c>
    </row>
    <row r="10" spans="1:7" x14ac:dyDescent="0.35">
      <c r="A10" s="19" t="s">
        <v>249</v>
      </c>
      <c r="D10">
        <v>22</v>
      </c>
      <c r="E10">
        <v>2</v>
      </c>
      <c r="G10">
        <v>24</v>
      </c>
    </row>
    <row r="11" spans="1:7" x14ac:dyDescent="0.35">
      <c r="A11" s="19" t="s">
        <v>250</v>
      </c>
      <c r="C11">
        <v>1</v>
      </c>
      <c r="D11">
        <v>20</v>
      </c>
      <c r="E11">
        <v>2</v>
      </c>
      <c r="G11">
        <v>23</v>
      </c>
    </row>
    <row r="12" spans="1:7" x14ac:dyDescent="0.35">
      <c r="A12" s="19" t="s">
        <v>251</v>
      </c>
      <c r="D12">
        <v>16</v>
      </c>
      <c r="E12">
        <v>1</v>
      </c>
      <c r="G12">
        <v>17</v>
      </c>
    </row>
    <row r="13" spans="1:7" x14ac:dyDescent="0.35">
      <c r="A13" s="19" t="s">
        <v>252</v>
      </c>
      <c r="B13">
        <v>1</v>
      </c>
      <c r="D13">
        <v>33</v>
      </c>
      <c r="G13">
        <v>34</v>
      </c>
    </row>
    <row r="14" spans="1:7" x14ac:dyDescent="0.35">
      <c r="A14" s="20" t="s">
        <v>253</v>
      </c>
      <c r="B14">
        <v>9</v>
      </c>
      <c r="C14">
        <v>1</v>
      </c>
      <c r="D14">
        <v>210</v>
      </c>
      <c r="E14">
        <v>2</v>
      </c>
      <c r="G14">
        <v>222</v>
      </c>
    </row>
    <row r="15" spans="1:7" x14ac:dyDescent="0.35">
      <c r="A15" s="19" t="s">
        <v>254</v>
      </c>
      <c r="D15">
        <v>14</v>
      </c>
      <c r="G15">
        <v>14</v>
      </c>
    </row>
    <row r="16" spans="1:7" x14ac:dyDescent="0.35">
      <c r="A16" s="19" t="s">
        <v>255</v>
      </c>
      <c r="B16">
        <v>2</v>
      </c>
      <c r="D16">
        <v>30</v>
      </c>
      <c r="G16">
        <v>32</v>
      </c>
    </row>
    <row r="17" spans="1:7" x14ac:dyDescent="0.35">
      <c r="A17" s="19" t="s">
        <v>256</v>
      </c>
      <c r="C17">
        <v>1</v>
      </c>
      <c r="D17">
        <v>36</v>
      </c>
      <c r="G17">
        <v>37</v>
      </c>
    </row>
    <row r="18" spans="1:7" x14ac:dyDescent="0.35">
      <c r="A18" s="19" t="s">
        <v>257</v>
      </c>
      <c r="B18">
        <v>1</v>
      </c>
      <c r="D18">
        <v>38</v>
      </c>
      <c r="G18">
        <v>39</v>
      </c>
    </row>
    <row r="19" spans="1:7" x14ac:dyDescent="0.35">
      <c r="A19" s="19" t="s">
        <v>258</v>
      </c>
      <c r="B19">
        <v>1</v>
      </c>
      <c r="D19">
        <v>35</v>
      </c>
      <c r="G19">
        <v>36</v>
      </c>
    </row>
    <row r="20" spans="1:7" x14ac:dyDescent="0.35">
      <c r="A20" s="19" t="s">
        <v>259</v>
      </c>
      <c r="B20">
        <v>2</v>
      </c>
      <c r="D20">
        <v>34</v>
      </c>
      <c r="E20">
        <v>2</v>
      </c>
      <c r="G20">
        <v>38</v>
      </c>
    </row>
    <row r="21" spans="1:7" x14ac:dyDescent="0.35">
      <c r="A21" s="19" t="s">
        <v>260</v>
      </c>
      <c r="B21">
        <v>3</v>
      </c>
      <c r="D21">
        <v>23</v>
      </c>
      <c r="G21">
        <v>26</v>
      </c>
    </row>
    <row r="22" spans="1:7" x14ac:dyDescent="0.35">
      <c r="A22" s="20" t="s">
        <v>261</v>
      </c>
      <c r="B22">
        <v>13</v>
      </c>
      <c r="C22">
        <v>2</v>
      </c>
      <c r="D22">
        <v>189</v>
      </c>
      <c r="E22">
        <v>3</v>
      </c>
      <c r="G22">
        <v>207</v>
      </c>
    </row>
    <row r="23" spans="1:7" x14ac:dyDescent="0.35">
      <c r="A23" s="19" t="s">
        <v>262</v>
      </c>
      <c r="B23">
        <v>4</v>
      </c>
      <c r="D23">
        <v>9</v>
      </c>
      <c r="G23">
        <v>13</v>
      </c>
    </row>
    <row r="24" spans="1:7" x14ac:dyDescent="0.35">
      <c r="A24" s="19" t="s">
        <v>263</v>
      </c>
      <c r="B24">
        <v>3</v>
      </c>
      <c r="D24">
        <v>10</v>
      </c>
      <c r="G24">
        <v>13</v>
      </c>
    </row>
    <row r="25" spans="1:7" x14ac:dyDescent="0.35">
      <c r="A25" s="19" t="s">
        <v>264</v>
      </c>
      <c r="B25">
        <v>1</v>
      </c>
      <c r="D25">
        <v>27</v>
      </c>
      <c r="G25">
        <v>28</v>
      </c>
    </row>
    <row r="26" spans="1:7" x14ac:dyDescent="0.35">
      <c r="A26" s="19" t="s">
        <v>265</v>
      </c>
      <c r="B26">
        <v>2</v>
      </c>
      <c r="D26">
        <v>23</v>
      </c>
      <c r="G26">
        <v>25</v>
      </c>
    </row>
    <row r="27" spans="1:7" x14ac:dyDescent="0.35">
      <c r="A27" s="19" t="s">
        <v>266</v>
      </c>
      <c r="D27">
        <v>13</v>
      </c>
      <c r="E27">
        <v>1</v>
      </c>
      <c r="G27">
        <v>14</v>
      </c>
    </row>
    <row r="28" spans="1:7" x14ac:dyDescent="0.35">
      <c r="A28" s="19" t="s">
        <v>267</v>
      </c>
      <c r="D28">
        <v>14</v>
      </c>
      <c r="G28">
        <v>14</v>
      </c>
    </row>
    <row r="29" spans="1:7" x14ac:dyDescent="0.35">
      <c r="A29" s="19" t="s">
        <v>268</v>
      </c>
      <c r="C29">
        <v>2</v>
      </c>
      <c r="D29">
        <v>15</v>
      </c>
      <c r="G29">
        <v>17</v>
      </c>
    </row>
    <row r="30" spans="1:7" x14ac:dyDescent="0.35">
      <c r="A30" s="19" t="s">
        <v>269</v>
      </c>
      <c r="B30">
        <v>1</v>
      </c>
      <c r="D30">
        <v>11</v>
      </c>
      <c r="G30">
        <v>12</v>
      </c>
    </row>
    <row r="31" spans="1:7" x14ac:dyDescent="0.35">
      <c r="A31" s="19" t="s">
        <v>270</v>
      </c>
      <c r="D31">
        <v>25</v>
      </c>
      <c r="G31">
        <v>25</v>
      </c>
    </row>
    <row r="32" spans="1:7" x14ac:dyDescent="0.35">
      <c r="A32" s="19" t="s">
        <v>271</v>
      </c>
      <c r="B32">
        <v>1</v>
      </c>
      <c r="D32">
        <v>10</v>
      </c>
      <c r="G32">
        <v>11</v>
      </c>
    </row>
    <row r="33" spans="1:7" x14ac:dyDescent="0.35">
      <c r="A33" s="19" t="s">
        <v>272</v>
      </c>
      <c r="D33">
        <v>10</v>
      </c>
      <c r="G33">
        <v>10</v>
      </c>
    </row>
    <row r="34" spans="1:7" x14ac:dyDescent="0.35">
      <c r="A34" s="19" t="s">
        <v>273</v>
      </c>
      <c r="D34">
        <v>11</v>
      </c>
      <c r="G34">
        <v>11</v>
      </c>
    </row>
    <row r="35" spans="1:7" x14ac:dyDescent="0.35">
      <c r="A35" s="19" t="s">
        <v>274</v>
      </c>
      <c r="B35">
        <v>1</v>
      </c>
      <c r="D35">
        <v>11</v>
      </c>
      <c r="E35">
        <v>2</v>
      </c>
      <c r="G35">
        <v>14</v>
      </c>
    </row>
    <row r="36" spans="1:7" x14ac:dyDescent="0.35">
      <c r="A36" s="20" t="s">
        <v>275</v>
      </c>
      <c r="B36">
        <v>7</v>
      </c>
      <c r="D36">
        <v>138</v>
      </c>
      <c r="E36">
        <v>5</v>
      </c>
      <c r="G36">
        <v>150</v>
      </c>
    </row>
    <row r="37" spans="1:7" x14ac:dyDescent="0.35">
      <c r="A37" s="19" t="s">
        <v>276</v>
      </c>
      <c r="D37">
        <v>16</v>
      </c>
      <c r="G37">
        <v>16</v>
      </c>
    </row>
    <row r="38" spans="1:7" x14ac:dyDescent="0.35">
      <c r="A38" s="19" t="s">
        <v>277</v>
      </c>
      <c r="D38">
        <v>9</v>
      </c>
      <c r="G38">
        <v>9</v>
      </c>
    </row>
    <row r="39" spans="1:7" x14ac:dyDescent="0.35">
      <c r="A39" s="19" t="s">
        <v>278</v>
      </c>
      <c r="D39">
        <v>14</v>
      </c>
      <c r="G39">
        <v>14</v>
      </c>
    </row>
    <row r="40" spans="1:7" x14ac:dyDescent="0.35">
      <c r="A40" s="19" t="s">
        <v>279</v>
      </c>
      <c r="B40">
        <v>2</v>
      </c>
      <c r="D40">
        <v>26</v>
      </c>
      <c r="E40">
        <v>1</v>
      </c>
      <c r="G40">
        <v>29</v>
      </c>
    </row>
    <row r="41" spans="1:7" x14ac:dyDescent="0.35">
      <c r="A41" s="19" t="s">
        <v>280</v>
      </c>
      <c r="B41">
        <v>1</v>
      </c>
      <c r="D41">
        <v>14</v>
      </c>
      <c r="E41">
        <v>3</v>
      </c>
      <c r="G41">
        <v>18</v>
      </c>
    </row>
    <row r="42" spans="1:7" x14ac:dyDescent="0.35">
      <c r="A42" s="19" t="s">
        <v>281</v>
      </c>
      <c r="B42">
        <v>1</v>
      </c>
      <c r="D42">
        <v>19</v>
      </c>
      <c r="G42">
        <v>20</v>
      </c>
    </row>
    <row r="43" spans="1:7" x14ac:dyDescent="0.35">
      <c r="A43" s="19" t="s">
        <v>282</v>
      </c>
      <c r="B43">
        <v>3</v>
      </c>
      <c r="D43">
        <v>9</v>
      </c>
      <c r="G43">
        <v>12</v>
      </c>
    </row>
    <row r="44" spans="1:7" x14ac:dyDescent="0.35">
      <c r="A44" s="19" t="s">
        <v>283</v>
      </c>
      <c r="D44">
        <v>12</v>
      </c>
      <c r="G44">
        <v>12</v>
      </c>
    </row>
    <row r="45" spans="1:7" x14ac:dyDescent="0.35">
      <c r="A45" s="19" t="s">
        <v>284</v>
      </c>
      <c r="D45">
        <v>19</v>
      </c>
      <c r="E45">
        <v>1</v>
      </c>
      <c r="G45">
        <v>20</v>
      </c>
    </row>
    <row r="46" spans="1:7" x14ac:dyDescent="0.35">
      <c r="A46" s="20" t="s">
        <v>285</v>
      </c>
      <c r="B46">
        <v>5</v>
      </c>
      <c r="D46">
        <v>111</v>
      </c>
      <c r="G46">
        <v>116</v>
      </c>
    </row>
    <row r="47" spans="1:7" x14ac:dyDescent="0.35">
      <c r="A47" s="19" t="s">
        <v>286</v>
      </c>
      <c r="B47">
        <v>4</v>
      </c>
      <c r="D47">
        <v>34</v>
      </c>
      <c r="G47">
        <v>38</v>
      </c>
    </row>
    <row r="48" spans="1:7" x14ac:dyDescent="0.35">
      <c r="A48" s="19" t="s">
        <v>287</v>
      </c>
      <c r="D48">
        <v>32</v>
      </c>
      <c r="G48">
        <v>32</v>
      </c>
    </row>
    <row r="49" spans="1:7" x14ac:dyDescent="0.35">
      <c r="A49" s="19" t="s">
        <v>288</v>
      </c>
      <c r="B49">
        <v>1</v>
      </c>
      <c r="D49">
        <v>22</v>
      </c>
      <c r="G49">
        <v>23</v>
      </c>
    </row>
    <row r="50" spans="1:7" x14ac:dyDescent="0.35">
      <c r="A50" s="19" t="s">
        <v>289</v>
      </c>
      <c r="D50">
        <v>23</v>
      </c>
      <c r="G50">
        <v>23</v>
      </c>
    </row>
    <row r="51" spans="1:7" x14ac:dyDescent="0.35">
      <c r="A51" s="20" t="s">
        <v>290</v>
      </c>
      <c r="B51">
        <v>5</v>
      </c>
      <c r="C51">
        <v>2</v>
      </c>
      <c r="D51">
        <v>226</v>
      </c>
      <c r="G51">
        <v>233</v>
      </c>
    </row>
    <row r="52" spans="1:7" x14ac:dyDescent="0.35">
      <c r="A52" s="19" t="s">
        <v>291</v>
      </c>
      <c r="B52">
        <v>1</v>
      </c>
      <c r="C52">
        <v>1</v>
      </c>
      <c r="D52">
        <v>27</v>
      </c>
      <c r="G52">
        <v>29</v>
      </c>
    </row>
    <row r="53" spans="1:7" x14ac:dyDescent="0.35">
      <c r="A53" s="19" t="s">
        <v>292</v>
      </c>
      <c r="D53">
        <v>30</v>
      </c>
      <c r="G53">
        <v>30</v>
      </c>
    </row>
    <row r="54" spans="1:7" x14ac:dyDescent="0.35">
      <c r="A54" s="19" t="s">
        <v>293</v>
      </c>
      <c r="B54">
        <v>1</v>
      </c>
      <c r="D54">
        <v>23</v>
      </c>
      <c r="G54">
        <v>24</v>
      </c>
    </row>
    <row r="55" spans="1:7" x14ac:dyDescent="0.35">
      <c r="A55" s="19" t="s">
        <v>294</v>
      </c>
      <c r="B55">
        <v>2</v>
      </c>
      <c r="D55">
        <v>27</v>
      </c>
      <c r="G55">
        <v>29</v>
      </c>
    </row>
    <row r="56" spans="1:7" x14ac:dyDescent="0.35">
      <c r="A56" s="19" t="s">
        <v>295</v>
      </c>
      <c r="D56">
        <v>23</v>
      </c>
      <c r="G56">
        <v>23</v>
      </c>
    </row>
    <row r="57" spans="1:7" x14ac:dyDescent="0.35">
      <c r="A57" s="19" t="s">
        <v>296</v>
      </c>
      <c r="D57">
        <v>32</v>
      </c>
      <c r="G57">
        <v>32</v>
      </c>
    </row>
    <row r="58" spans="1:7" x14ac:dyDescent="0.35">
      <c r="A58" s="19" t="s">
        <v>297</v>
      </c>
      <c r="C58">
        <v>1</v>
      </c>
      <c r="D58">
        <v>31</v>
      </c>
      <c r="G58">
        <v>32</v>
      </c>
    </row>
    <row r="59" spans="1:7" x14ac:dyDescent="0.35">
      <c r="A59" s="19" t="s">
        <v>298</v>
      </c>
      <c r="B59">
        <v>1</v>
      </c>
      <c r="D59">
        <v>33</v>
      </c>
      <c r="G59">
        <v>34</v>
      </c>
    </row>
    <row r="60" spans="1:7" x14ac:dyDescent="0.35">
      <c r="A60" s="20" t="s">
        <v>299</v>
      </c>
      <c r="B60">
        <v>15</v>
      </c>
      <c r="D60">
        <v>355</v>
      </c>
      <c r="E60">
        <v>9</v>
      </c>
      <c r="G60">
        <v>379</v>
      </c>
    </row>
    <row r="61" spans="1:7" x14ac:dyDescent="0.35">
      <c r="A61" s="19" t="s">
        <v>300</v>
      </c>
      <c r="B61">
        <v>3</v>
      </c>
      <c r="D61">
        <v>13</v>
      </c>
      <c r="E61">
        <v>1</v>
      </c>
      <c r="G61">
        <v>17</v>
      </c>
    </row>
    <row r="62" spans="1:7" x14ac:dyDescent="0.35">
      <c r="A62" s="19" t="s">
        <v>301</v>
      </c>
      <c r="D62">
        <v>35</v>
      </c>
      <c r="E62">
        <v>2</v>
      </c>
      <c r="G62">
        <v>37</v>
      </c>
    </row>
    <row r="63" spans="1:7" x14ac:dyDescent="0.35">
      <c r="A63" s="19" t="s">
        <v>302</v>
      </c>
      <c r="B63">
        <v>2</v>
      </c>
      <c r="D63">
        <v>37</v>
      </c>
      <c r="G63">
        <v>39</v>
      </c>
    </row>
    <row r="64" spans="1:7" x14ac:dyDescent="0.35">
      <c r="A64" s="19" t="s">
        <v>303</v>
      </c>
      <c r="B64">
        <v>2</v>
      </c>
      <c r="D64">
        <v>17</v>
      </c>
      <c r="G64">
        <v>19</v>
      </c>
    </row>
    <row r="65" spans="1:7" x14ac:dyDescent="0.35">
      <c r="A65" s="19" t="s">
        <v>304</v>
      </c>
      <c r="D65">
        <v>18</v>
      </c>
      <c r="G65">
        <v>18</v>
      </c>
    </row>
    <row r="66" spans="1:7" x14ac:dyDescent="0.35">
      <c r="A66" s="19" t="s">
        <v>305</v>
      </c>
      <c r="B66">
        <v>1</v>
      </c>
      <c r="D66">
        <v>45</v>
      </c>
      <c r="E66">
        <v>1</v>
      </c>
      <c r="G66">
        <v>47</v>
      </c>
    </row>
    <row r="67" spans="1:7" x14ac:dyDescent="0.35">
      <c r="A67" s="19" t="s">
        <v>306</v>
      </c>
      <c r="B67">
        <v>2</v>
      </c>
      <c r="D67">
        <v>17</v>
      </c>
      <c r="G67">
        <v>19</v>
      </c>
    </row>
    <row r="68" spans="1:7" x14ac:dyDescent="0.35">
      <c r="A68" s="19" t="s">
        <v>307</v>
      </c>
      <c r="B68">
        <v>2</v>
      </c>
      <c r="D68">
        <v>36</v>
      </c>
      <c r="E68">
        <v>1</v>
      </c>
      <c r="G68">
        <v>39</v>
      </c>
    </row>
    <row r="69" spans="1:7" x14ac:dyDescent="0.35">
      <c r="A69" s="19" t="s">
        <v>308</v>
      </c>
      <c r="B69">
        <v>2</v>
      </c>
      <c r="D69">
        <v>23</v>
      </c>
      <c r="E69">
        <v>1</v>
      </c>
      <c r="G69">
        <v>26</v>
      </c>
    </row>
    <row r="70" spans="1:7" x14ac:dyDescent="0.35">
      <c r="A70" s="19" t="s">
        <v>309</v>
      </c>
      <c r="B70">
        <v>1</v>
      </c>
      <c r="D70">
        <v>45</v>
      </c>
      <c r="E70">
        <v>2</v>
      </c>
      <c r="G70">
        <v>48</v>
      </c>
    </row>
    <row r="71" spans="1:7" x14ac:dyDescent="0.35">
      <c r="A71" s="19" t="s">
        <v>310</v>
      </c>
      <c r="D71">
        <v>30</v>
      </c>
      <c r="G71">
        <v>30</v>
      </c>
    </row>
    <row r="72" spans="1:7" x14ac:dyDescent="0.35">
      <c r="A72" s="19" t="s">
        <v>311</v>
      </c>
      <c r="D72">
        <v>39</v>
      </c>
      <c r="E72">
        <v>1</v>
      </c>
      <c r="G72">
        <v>40</v>
      </c>
    </row>
    <row r="73" spans="1:7" x14ac:dyDescent="0.35">
      <c r="A73" s="20" t="s">
        <v>312</v>
      </c>
      <c r="B73">
        <v>8</v>
      </c>
      <c r="D73">
        <v>300</v>
      </c>
      <c r="E73">
        <v>5</v>
      </c>
      <c r="G73">
        <v>313</v>
      </c>
    </row>
    <row r="74" spans="1:7" x14ac:dyDescent="0.35">
      <c r="A74" s="19" t="s">
        <v>313</v>
      </c>
      <c r="B74">
        <v>1</v>
      </c>
      <c r="D74">
        <v>24</v>
      </c>
      <c r="G74">
        <v>25</v>
      </c>
    </row>
    <row r="75" spans="1:7" x14ac:dyDescent="0.35">
      <c r="A75" s="19" t="s">
        <v>314</v>
      </c>
      <c r="D75">
        <v>21</v>
      </c>
      <c r="G75">
        <v>21</v>
      </c>
    </row>
    <row r="76" spans="1:7" x14ac:dyDescent="0.35">
      <c r="A76" s="19" t="s">
        <v>315</v>
      </c>
      <c r="D76">
        <v>25</v>
      </c>
      <c r="E76">
        <v>1</v>
      </c>
      <c r="G76">
        <v>26</v>
      </c>
    </row>
    <row r="77" spans="1:7" x14ac:dyDescent="0.35">
      <c r="A77" s="19" t="s">
        <v>316</v>
      </c>
      <c r="B77">
        <v>2</v>
      </c>
      <c r="D77">
        <v>26</v>
      </c>
      <c r="G77">
        <v>28</v>
      </c>
    </row>
    <row r="78" spans="1:7" x14ac:dyDescent="0.35">
      <c r="A78" s="19" t="s">
        <v>317</v>
      </c>
      <c r="B78">
        <v>1</v>
      </c>
      <c r="D78">
        <v>27</v>
      </c>
      <c r="E78">
        <v>3</v>
      </c>
      <c r="G78">
        <v>31</v>
      </c>
    </row>
    <row r="79" spans="1:7" x14ac:dyDescent="0.35">
      <c r="A79" s="19" t="s">
        <v>318</v>
      </c>
      <c r="D79">
        <v>33</v>
      </c>
      <c r="G79">
        <v>33</v>
      </c>
    </row>
    <row r="80" spans="1:7" x14ac:dyDescent="0.35">
      <c r="A80" s="19" t="s">
        <v>319</v>
      </c>
      <c r="B80">
        <v>1</v>
      </c>
      <c r="D80">
        <v>15</v>
      </c>
      <c r="G80">
        <v>16</v>
      </c>
    </row>
    <row r="81" spans="1:7" x14ac:dyDescent="0.35">
      <c r="A81" s="19" t="s">
        <v>320</v>
      </c>
      <c r="D81">
        <v>17</v>
      </c>
      <c r="E81">
        <v>1</v>
      </c>
      <c r="G81">
        <v>18</v>
      </c>
    </row>
    <row r="82" spans="1:7" x14ac:dyDescent="0.35">
      <c r="A82" s="19" t="s">
        <v>321</v>
      </c>
      <c r="D82">
        <v>39</v>
      </c>
      <c r="G82">
        <v>39</v>
      </c>
    </row>
    <row r="83" spans="1:7" x14ac:dyDescent="0.35">
      <c r="A83" s="19" t="s">
        <v>322</v>
      </c>
      <c r="B83">
        <v>3</v>
      </c>
      <c r="D83">
        <v>34</v>
      </c>
      <c r="G83">
        <v>37</v>
      </c>
    </row>
    <row r="84" spans="1:7" x14ac:dyDescent="0.35">
      <c r="A84" s="19" t="s">
        <v>323</v>
      </c>
      <c r="D84">
        <v>39</v>
      </c>
      <c r="G84">
        <v>39</v>
      </c>
    </row>
    <row r="85" spans="1:7" x14ac:dyDescent="0.35">
      <c r="A85" s="20" t="s">
        <v>324</v>
      </c>
      <c r="B85">
        <v>16</v>
      </c>
      <c r="D85">
        <v>338</v>
      </c>
      <c r="E85">
        <v>3</v>
      </c>
      <c r="G85">
        <v>357</v>
      </c>
    </row>
    <row r="86" spans="1:7" x14ac:dyDescent="0.35">
      <c r="A86" s="19" t="s">
        <v>325</v>
      </c>
      <c r="B86">
        <v>1</v>
      </c>
      <c r="D86">
        <v>21</v>
      </c>
      <c r="G86">
        <v>22</v>
      </c>
    </row>
    <row r="87" spans="1:7" x14ac:dyDescent="0.35">
      <c r="A87" s="19" t="s">
        <v>326</v>
      </c>
      <c r="B87">
        <v>5</v>
      </c>
      <c r="D87">
        <v>27</v>
      </c>
      <c r="G87">
        <v>32</v>
      </c>
    </row>
    <row r="88" spans="1:7" x14ac:dyDescent="0.35">
      <c r="A88" s="19" t="s">
        <v>327</v>
      </c>
      <c r="D88">
        <v>14</v>
      </c>
      <c r="G88">
        <v>14</v>
      </c>
    </row>
    <row r="89" spans="1:7" x14ac:dyDescent="0.35">
      <c r="A89" s="19" t="s">
        <v>328</v>
      </c>
      <c r="B89">
        <v>1</v>
      </c>
      <c r="D89">
        <v>22</v>
      </c>
      <c r="G89">
        <v>23</v>
      </c>
    </row>
    <row r="90" spans="1:7" x14ac:dyDescent="0.35">
      <c r="A90" s="19" t="s">
        <v>329</v>
      </c>
      <c r="B90">
        <v>5</v>
      </c>
      <c r="D90">
        <v>24</v>
      </c>
      <c r="E90">
        <v>1</v>
      </c>
      <c r="G90">
        <v>30</v>
      </c>
    </row>
    <row r="91" spans="1:7" x14ac:dyDescent="0.35">
      <c r="A91" s="19" t="s">
        <v>330</v>
      </c>
      <c r="B91">
        <v>1</v>
      </c>
      <c r="D91">
        <v>32</v>
      </c>
      <c r="G91">
        <v>33</v>
      </c>
    </row>
    <row r="92" spans="1:7" x14ac:dyDescent="0.35">
      <c r="A92" s="19" t="s">
        <v>331</v>
      </c>
      <c r="D92">
        <v>34</v>
      </c>
      <c r="G92">
        <v>34</v>
      </c>
    </row>
    <row r="93" spans="1:7" x14ac:dyDescent="0.35">
      <c r="A93" s="19" t="s">
        <v>332</v>
      </c>
      <c r="D93">
        <v>30</v>
      </c>
      <c r="G93">
        <v>30</v>
      </c>
    </row>
    <row r="94" spans="1:7" x14ac:dyDescent="0.35">
      <c r="A94" s="19" t="s">
        <v>333</v>
      </c>
      <c r="D94">
        <v>26</v>
      </c>
      <c r="G94">
        <v>26</v>
      </c>
    </row>
    <row r="95" spans="1:7" x14ac:dyDescent="0.35">
      <c r="A95" s="19" t="s">
        <v>334</v>
      </c>
      <c r="B95">
        <v>1</v>
      </c>
      <c r="D95">
        <v>33</v>
      </c>
      <c r="E95">
        <v>1</v>
      </c>
      <c r="G95">
        <v>35</v>
      </c>
    </row>
    <row r="96" spans="1:7" x14ac:dyDescent="0.35">
      <c r="A96" s="19" t="s">
        <v>335</v>
      </c>
      <c r="B96">
        <v>1</v>
      </c>
      <c r="D96">
        <v>14</v>
      </c>
      <c r="G96">
        <v>15</v>
      </c>
    </row>
    <row r="97" spans="1:7" x14ac:dyDescent="0.35">
      <c r="A97" s="19" t="s">
        <v>336</v>
      </c>
      <c r="D97">
        <v>24</v>
      </c>
      <c r="G97">
        <v>24</v>
      </c>
    </row>
    <row r="98" spans="1:7" x14ac:dyDescent="0.35">
      <c r="A98" s="19" t="s">
        <v>337</v>
      </c>
      <c r="D98">
        <v>18</v>
      </c>
      <c r="G98">
        <v>18</v>
      </c>
    </row>
    <row r="99" spans="1:7" x14ac:dyDescent="0.35">
      <c r="A99" s="19" t="s">
        <v>338</v>
      </c>
      <c r="B99">
        <v>1</v>
      </c>
      <c r="D99">
        <v>19</v>
      </c>
      <c r="E99">
        <v>1</v>
      </c>
      <c r="G99">
        <v>21</v>
      </c>
    </row>
    <row r="100" spans="1:7" x14ac:dyDescent="0.35">
      <c r="A100" s="20" t="s">
        <v>339</v>
      </c>
      <c r="B100">
        <v>12</v>
      </c>
      <c r="C100">
        <v>1</v>
      </c>
      <c r="D100">
        <v>383</v>
      </c>
      <c r="E100">
        <v>9</v>
      </c>
      <c r="G100">
        <v>405</v>
      </c>
    </row>
    <row r="101" spans="1:7" x14ac:dyDescent="0.35">
      <c r="A101" s="19" t="s">
        <v>340</v>
      </c>
      <c r="D101">
        <v>39</v>
      </c>
      <c r="E101">
        <v>2</v>
      </c>
      <c r="G101">
        <v>41</v>
      </c>
    </row>
    <row r="102" spans="1:7" x14ac:dyDescent="0.35">
      <c r="A102" s="19" t="s">
        <v>341</v>
      </c>
      <c r="B102">
        <v>1</v>
      </c>
      <c r="D102">
        <v>20</v>
      </c>
      <c r="G102">
        <v>21</v>
      </c>
    </row>
    <row r="103" spans="1:7" x14ac:dyDescent="0.35">
      <c r="A103" s="19" t="s">
        <v>342</v>
      </c>
      <c r="C103">
        <v>1</v>
      </c>
      <c r="D103">
        <v>36</v>
      </c>
      <c r="G103">
        <v>37</v>
      </c>
    </row>
    <row r="104" spans="1:7" x14ac:dyDescent="0.35">
      <c r="A104" s="19" t="s">
        <v>343</v>
      </c>
      <c r="B104">
        <v>2</v>
      </c>
      <c r="D104">
        <v>40</v>
      </c>
      <c r="E104">
        <v>1</v>
      </c>
      <c r="G104">
        <v>43</v>
      </c>
    </row>
    <row r="105" spans="1:7" x14ac:dyDescent="0.35">
      <c r="A105" s="19" t="s">
        <v>344</v>
      </c>
      <c r="D105">
        <v>15</v>
      </c>
      <c r="E105">
        <v>2</v>
      </c>
      <c r="G105">
        <v>17</v>
      </c>
    </row>
    <row r="106" spans="1:7" x14ac:dyDescent="0.35">
      <c r="A106" s="19" t="s">
        <v>345</v>
      </c>
      <c r="B106">
        <v>3</v>
      </c>
      <c r="D106">
        <v>34</v>
      </c>
      <c r="E106">
        <v>1</v>
      </c>
      <c r="G106">
        <v>38</v>
      </c>
    </row>
    <row r="107" spans="1:7" x14ac:dyDescent="0.35">
      <c r="A107" s="19" t="s">
        <v>346</v>
      </c>
      <c r="D107">
        <v>25</v>
      </c>
      <c r="E107">
        <v>1</v>
      </c>
      <c r="G107">
        <v>26</v>
      </c>
    </row>
    <row r="108" spans="1:7" x14ac:dyDescent="0.35">
      <c r="A108" s="19" t="s">
        <v>347</v>
      </c>
      <c r="B108">
        <v>1</v>
      </c>
      <c r="D108">
        <v>29</v>
      </c>
      <c r="G108">
        <v>30</v>
      </c>
    </row>
    <row r="109" spans="1:7" x14ac:dyDescent="0.35">
      <c r="A109" s="19" t="s">
        <v>348</v>
      </c>
      <c r="D109">
        <v>31</v>
      </c>
      <c r="G109">
        <v>31</v>
      </c>
    </row>
    <row r="110" spans="1:7" x14ac:dyDescent="0.35">
      <c r="A110" s="19" t="s">
        <v>349</v>
      </c>
      <c r="B110">
        <v>1</v>
      </c>
      <c r="D110">
        <v>37</v>
      </c>
      <c r="G110">
        <v>38</v>
      </c>
    </row>
    <row r="111" spans="1:7" x14ac:dyDescent="0.35">
      <c r="A111" s="19" t="s">
        <v>350</v>
      </c>
      <c r="B111">
        <v>4</v>
      </c>
      <c r="D111">
        <v>17</v>
      </c>
      <c r="G111">
        <v>21</v>
      </c>
    </row>
    <row r="112" spans="1:7" x14ac:dyDescent="0.35">
      <c r="A112" s="19" t="s">
        <v>351</v>
      </c>
      <c r="D112">
        <v>21</v>
      </c>
      <c r="G112">
        <v>21</v>
      </c>
    </row>
    <row r="113" spans="1:7" x14ac:dyDescent="0.35">
      <c r="A113" s="19" t="s">
        <v>352</v>
      </c>
      <c r="D113">
        <v>18</v>
      </c>
      <c r="E113">
        <v>2</v>
      </c>
      <c r="G113">
        <v>20</v>
      </c>
    </row>
    <row r="114" spans="1:7" x14ac:dyDescent="0.35">
      <c r="A114" s="19" t="s">
        <v>353</v>
      </c>
      <c r="D114">
        <v>21</v>
      </c>
      <c r="G114">
        <v>21</v>
      </c>
    </row>
    <row r="115" spans="1:7" x14ac:dyDescent="0.35">
      <c r="A115" s="20" t="s">
        <v>242</v>
      </c>
    </row>
    <row r="116" spans="1:7" x14ac:dyDescent="0.35">
      <c r="A116" s="19" t="s">
        <v>242</v>
      </c>
    </row>
    <row r="117" spans="1:7" x14ac:dyDescent="0.35">
      <c r="A117" s="20" t="s">
        <v>358</v>
      </c>
      <c r="B117">
        <v>98</v>
      </c>
      <c r="C117">
        <v>8</v>
      </c>
      <c r="D117">
        <v>2505</v>
      </c>
      <c r="E117">
        <v>46</v>
      </c>
      <c r="G117">
        <v>2657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6F15-F226-48AA-8DAA-4F9EA8D9135F}">
  <dimension ref="A2:B13"/>
  <sheetViews>
    <sheetView workbookViewId="0">
      <selection activeCell="B13" sqref="B13"/>
    </sheetView>
  </sheetViews>
  <sheetFormatPr defaultRowHeight="14.5" x14ac:dyDescent="0.35"/>
  <cols>
    <col min="1" max="1" width="14.1796875" bestFit="1" customWidth="1"/>
  </cols>
  <sheetData>
    <row r="2" spans="1:2" x14ac:dyDescent="0.35">
      <c r="A2" s="27" t="s">
        <v>402</v>
      </c>
      <c r="B2">
        <f>Tabel!M12</f>
        <v>9991</v>
      </c>
    </row>
    <row r="3" spans="1:2" x14ac:dyDescent="0.35">
      <c r="A3" s="27" t="s">
        <v>178</v>
      </c>
      <c r="B3">
        <f>Tabel!M20</f>
        <v>9618</v>
      </c>
    </row>
    <row r="4" spans="1:2" x14ac:dyDescent="0.35">
      <c r="A4" s="27" t="s">
        <v>403</v>
      </c>
      <c r="B4">
        <f>Tabel!M34</f>
        <v>48035</v>
      </c>
    </row>
    <row r="5" spans="1:2" x14ac:dyDescent="0.35">
      <c r="A5" s="27" t="s">
        <v>122</v>
      </c>
      <c r="B5">
        <f>Tabel!M44</f>
        <v>22522</v>
      </c>
    </row>
    <row r="6" spans="1:2" x14ac:dyDescent="0.35">
      <c r="A6" s="27" t="s">
        <v>404</v>
      </c>
      <c r="B6">
        <f>Tabel!M49</f>
        <v>-7306</v>
      </c>
    </row>
    <row r="7" spans="1:2" x14ac:dyDescent="0.35">
      <c r="A7" s="27" t="s">
        <v>405</v>
      </c>
      <c r="B7">
        <f>Tabel!M58</f>
        <v>-13195</v>
      </c>
    </row>
    <row r="8" spans="1:2" x14ac:dyDescent="0.35">
      <c r="A8" s="27" t="s">
        <v>151</v>
      </c>
      <c r="B8">
        <f>Tabel!M71</f>
        <v>13148</v>
      </c>
    </row>
    <row r="9" spans="1:2" x14ac:dyDescent="0.35">
      <c r="A9" s="27" t="s">
        <v>210</v>
      </c>
      <c r="B9">
        <f>Tabel!M83</f>
        <v>-14373</v>
      </c>
    </row>
    <row r="10" spans="1:2" x14ac:dyDescent="0.35">
      <c r="A10" s="27" t="s">
        <v>218</v>
      </c>
      <c r="B10">
        <f>Tabel!M98</f>
        <v>-4391</v>
      </c>
    </row>
    <row r="11" spans="1:2" x14ac:dyDescent="0.35">
      <c r="A11" s="27" t="s">
        <v>203</v>
      </c>
      <c r="B11">
        <f>Tabel!M113</f>
        <v>92945</v>
      </c>
    </row>
    <row r="13" spans="1:2" x14ac:dyDescent="0.35">
      <c r="B13">
        <f>SUM(B2:B12)</f>
        <v>156994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11</vt:i4>
      </vt:variant>
      <vt:variant>
        <vt:lpstr>Navngivne områder</vt:lpstr>
      </vt:variant>
      <vt:variant>
        <vt:i4>1</vt:i4>
      </vt:variant>
    </vt:vector>
  </HeadingPairs>
  <TitlesOfParts>
    <vt:vector size="12" baseType="lpstr">
      <vt:lpstr>Tabel</vt:lpstr>
      <vt:lpstr>Befolkning</vt:lpstr>
      <vt:lpstr>Folkekirkemedlemmer mv</vt:lpstr>
      <vt:lpstr>Lokal ligning</vt:lpstr>
      <vt:lpstr>Præster</vt:lpstr>
      <vt:lpstr>Pastorater</vt:lpstr>
      <vt:lpstr>Menighedsråd</vt:lpstr>
      <vt:lpstr>Detalje1</vt:lpstr>
      <vt:lpstr>Kirker</vt:lpstr>
      <vt:lpstr>Kirker fordelt efter art</vt:lpstr>
      <vt:lpstr>Graf befolkning</vt:lpstr>
      <vt:lpstr>Tabel!Udskriftstitler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Paepke</dc:creator>
  <cp:lastModifiedBy>Dennis Jelstrup</cp:lastModifiedBy>
  <cp:lastPrinted>2026-06-01T05:48:59Z</cp:lastPrinted>
  <dcterms:created xsi:type="dcterms:W3CDTF">2026-05-27T05:42:04Z</dcterms:created>
  <dcterms:modified xsi:type="dcterms:W3CDTF">2026-06-10T09:32:24Z</dcterms:modified>
</cp:coreProperties>
</file>